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F:\0. 동우옵트론\＠ 0. 업무 자동화 개발\1. 프로그램 개발\5. 교정가스\6. [26.04.06] 엑셀변환\"/>
    </mc:Choice>
  </mc:AlternateContent>
  <bookViews>
    <workbookView xWindow="0" yWindow="0" windowWidth="28800" windowHeight="12165"/>
  </bookViews>
  <sheets>
    <sheet name="DATA" sheetId="1" r:id="rId1"/>
  </sheets>
  <definedNames>
    <definedName name="_xlnm._FilterDatabase" localSheetId="0" hidden="1">DATA!$A$3:$AS$407</definedName>
    <definedName name="_xlnm.Print_Area" localSheetId="0">DATA!$A$133:$I$140</definedName>
  </definedNames>
  <calcPr calcId="162913"/>
</workbook>
</file>

<file path=xl/calcChain.xml><?xml version="1.0" encoding="utf-8"?>
<calcChain xmlns="http://schemas.openxmlformats.org/spreadsheetml/2006/main">
  <c r="AC387" i="1" l="1"/>
  <c r="H6" i="1" l="1"/>
  <c r="AC16" i="1" l="1"/>
  <c r="I287" i="1" l="1"/>
  <c r="I288" i="1"/>
  <c r="AC260" i="1" l="1"/>
  <c r="AC274" i="1" l="1"/>
  <c r="AC181" i="1" l="1"/>
  <c r="AC359" i="1" l="1"/>
  <c r="H17" i="1" l="1"/>
  <c r="AC153" i="1" l="1"/>
  <c r="H294" i="1" l="1"/>
  <c r="H293" i="1"/>
  <c r="I294" i="1"/>
  <c r="I293" i="1"/>
  <c r="I292" i="1"/>
  <c r="AC321" i="1" l="1"/>
  <c r="AC213" i="1" l="1"/>
  <c r="AC195" i="1"/>
  <c r="I10" i="1" l="1"/>
  <c r="I14" i="1" s="1"/>
  <c r="I11" i="1"/>
  <c r="I15" i="1" s="1"/>
  <c r="I9" i="1"/>
  <c r="I13" i="1" s="1"/>
  <c r="I8" i="1"/>
  <c r="I12" i="1" s="1"/>
  <c r="H10" i="1"/>
  <c r="H14" i="1" s="1"/>
  <c r="H11" i="1"/>
  <c r="H15" i="1" s="1"/>
  <c r="H9" i="1"/>
  <c r="H13" i="1" s="1"/>
  <c r="H8" i="1"/>
  <c r="H12" i="1" s="1"/>
  <c r="H288" i="1" l="1"/>
  <c r="H287" i="1"/>
  <c r="N45" i="1" l="1"/>
</calcChain>
</file>

<file path=xl/comments1.xml><?xml version="1.0" encoding="utf-8"?>
<comments xmlns="http://schemas.openxmlformats.org/spreadsheetml/2006/main">
  <authors>
    <author>김가영</author>
    <author>동우옵트론</author>
    <author>박다운</author>
  </authors>
  <commentList>
    <comment ref="N1" authorId="0" shapeId="0">
      <text>
        <r>
          <rPr>
            <sz val="9"/>
            <color indexed="81"/>
            <rFont val="Tahoma"/>
            <family val="2"/>
          </rPr>
          <t xml:space="preserve">23/7/11 </t>
        </r>
        <r>
          <rPr>
            <sz val="9"/>
            <color indexed="81"/>
            <rFont val="돋움"/>
            <family val="3"/>
            <charset val="129"/>
          </rPr>
          <t>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T1" authorId="0" shapeId="0">
      <text>
        <r>
          <rPr>
            <sz val="9"/>
            <color indexed="81"/>
            <rFont val="Tahoma"/>
            <family val="2"/>
          </rPr>
          <t xml:space="preserve">23/7/11 </t>
        </r>
        <r>
          <rPr>
            <sz val="9"/>
            <color indexed="81"/>
            <rFont val="돋움"/>
            <family val="3"/>
            <charset val="129"/>
          </rPr>
          <t xml:space="preserve">수정
</t>
        </r>
        <r>
          <rPr>
            <sz val="9"/>
            <color indexed="81"/>
            <rFont val="Tahoma"/>
            <family val="2"/>
          </rPr>
          <t>+2, +2, +1, +1, +1</t>
        </r>
      </text>
    </comment>
    <comment ref="E4" authorId="1" shapeId="0">
      <text>
        <r>
          <rPr>
            <b/>
            <sz val="9"/>
            <color indexed="81"/>
            <rFont val="Tahoma"/>
            <family val="2"/>
          </rPr>
          <t>NO 300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200ppm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>(DW-22-466)</t>
        </r>
      </text>
    </comment>
    <comment ref="G4" authorId="1" shapeId="0">
      <text>
        <r>
          <rPr>
            <b/>
            <sz val="9"/>
            <color indexed="81"/>
            <rFont val="Tahoma"/>
            <family val="2"/>
          </rPr>
          <t>5/27 40-&gt;47L
(</t>
        </r>
        <r>
          <rPr>
            <b/>
            <sz val="9"/>
            <color indexed="81"/>
            <rFont val="돋움"/>
            <family val="3"/>
            <charset val="129"/>
          </rPr>
          <t>입고안된다고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" authorId="1" shapeId="0">
      <text>
        <r>
          <rPr>
            <b/>
            <sz val="9"/>
            <color indexed="81"/>
            <rFont val="돋움"/>
            <family val="3"/>
            <charset val="129"/>
          </rPr>
          <t>알루미늄</t>
        </r>
      </text>
    </comment>
    <comment ref="O4" authorId="1" shapeId="0">
      <text>
        <r>
          <rPr>
            <b/>
            <sz val="9"/>
            <color indexed="81"/>
            <rFont val="Tahoma"/>
            <family val="2"/>
          </rPr>
          <t>25/5/21</t>
        </r>
      </text>
    </comment>
    <comment ref="P4" authorId="1" shapeId="0">
      <text>
        <r>
          <rPr>
            <b/>
            <sz val="9"/>
            <color indexed="81"/>
            <rFont val="돋움"/>
            <family val="3"/>
            <charset val="129"/>
          </rPr>
          <t>발주처 3월 요청
(실 정도검사 일정 진행 시, 정도검사 목적으로 난방을 떼야하기에)</t>
        </r>
      </text>
    </comment>
    <comment ref="U4" authorId="1" shapeId="0">
      <text>
        <r>
          <rPr>
            <b/>
            <sz val="9"/>
            <color indexed="81"/>
            <rFont val="Tahoma"/>
            <family val="2"/>
          </rPr>
          <t xml:space="preserve">25/8/8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N6" authorId="1" shapeId="0">
      <text>
        <r>
          <rPr>
            <b/>
            <sz val="9"/>
            <color indexed="81"/>
            <rFont val="Tahoma"/>
            <family val="2"/>
          </rPr>
          <t xml:space="preserve">O2 </t>
        </r>
        <r>
          <rPr>
            <b/>
            <sz val="9"/>
            <color indexed="81"/>
            <rFont val="돋움"/>
            <family val="3"/>
            <charset val="129"/>
          </rPr>
          <t>신규분</t>
        </r>
      </text>
    </comment>
    <comment ref="E8" authorId="1" shapeId="0">
      <text>
        <r>
          <rPr>
            <b/>
            <sz val="9"/>
            <color indexed="81"/>
            <rFont val="돋움"/>
            <family val="3"/>
            <charset val="129"/>
          </rPr>
          <t>NO 300→200ppm변경
(DW-22-466)</t>
        </r>
      </text>
    </comment>
    <comment ref="O8" authorId="1" shapeId="0">
      <text>
        <r>
          <rPr>
            <b/>
            <sz val="9"/>
            <color indexed="81"/>
            <rFont val="Tahoma"/>
            <family val="2"/>
          </rPr>
          <t>25/5/21</t>
        </r>
      </text>
    </comment>
    <comment ref="P8" authorId="1" shapeId="0">
      <text>
        <r>
          <rPr>
            <b/>
            <sz val="9"/>
            <color indexed="81"/>
            <rFont val="돋움"/>
            <family val="3"/>
            <charset val="129"/>
          </rPr>
          <t>발주처 3월 요청
(실 정도검사 일정 진행 시, 정도검사 목적으로 난방을 떼야하기에)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>p-17-011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8" authorId="0" shapeId="0">
      <text>
        <r>
          <rPr>
            <b/>
            <sz val="9"/>
            <color indexed="81"/>
            <rFont val="Tahoma"/>
            <family val="2"/>
          </rPr>
          <t xml:space="preserve">25/8/8 </t>
        </r>
        <r>
          <rPr>
            <b/>
            <sz val="9"/>
            <color indexed="81"/>
            <rFont val="돋움"/>
            <family val="3"/>
            <charset val="129"/>
          </rPr>
          <t>설치
김가영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</text>
    </comment>
    <comment ref="E12" authorId="1" shapeId="0">
      <text>
        <r>
          <rPr>
            <b/>
            <sz val="9"/>
            <color indexed="81"/>
            <rFont val="Tahoma"/>
            <family val="2"/>
          </rPr>
          <t>NO 300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200ppm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>(DW-22-466)</t>
        </r>
      </text>
    </comment>
    <comment ref="O12" authorId="1" shapeId="0">
      <text>
        <r>
          <rPr>
            <b/>
            <sz val="9"/>
            <color indexed="81"/>
            <rFont val="Tahoma"/>
            <family val="2"/>
          </rPr>
          <t>25/5/21</t>
        </r>
      </text>
    </comment>
    <comment ref="P12" authorId="1" shapeId="0">
      <text>
        <r>
          <rPr>
            <b/>
            <sz val="9"/>
            <color indexed="81"/>
            <rFont val="돋움"/>
            <family val="3"/>
            <charset val="129"/>
          </rPr>
          <t>발주처 3월 요청
(실 정도검사 일정 진행 시, 정도검사 목적으로 난방을 떼야하기에)</t>
        </r>
      </text>
    </comment>
    <comment ref="T12" authorId="0" shapeId="0">
      <text>
        <r>
          <rPr>
            <sz val="9"/>
            <color indexed="81"/>
            <rFont val="Tahoma"/>
            <family val="2"/>
          </rPr>
          <t>17-008-FLOW</t>
        </r>
      </text>
    </comment>
    <comment ref="U12" authorId="1" shapeId="0">
      <text>
        <r>
          <rPr>
            <b/>
            <sz val="9"/>
            <color indexed="81"/>
            <rFont val="Tahoma"/>
            <family val="2"/>
          </rPr>
          <t xml:space="preserve">25/8/8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3" authorId="1" shapeId="0">
      <text>
        <r>
          <rPr>
            <b/>
            <sz val="9"/>
            <color indexed="81"/>
            <rFont val="Tahoma"/>
            <family val="2"/>
          </rPr>
          <t>25/12/30</t>
        </r>
      </text>
    </comment>
    <comment ref="U23" authorId="1" shapeId="0">
      <text>
        <r>
          <rPr>
            <b/>
            <sz val="9"/>
            <color indexed="81"/>
            <rFont val="Tahoma"/>
            <family val="2"/>
          </rPr>
          <t>25/1/23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4" authorId="1" shapeId="0">
      <text>
        <r>
          <rPr>
            <b/>
            <sz val="9"/>
            <color indexed="81"/>
            <rFont val="Tahoma"/>
            <family val="2"/>
          </rPr>
          <t xml:space="preserve">so2 </t>
        </r>
        <r>
          <rPr>
            <b/>
            <sz val="9"/>
            <color indexed="81"/>
            <rFont val="돋움"/>
            <family val="3"/>
            <charset val="129"/>
          </rPr>
          <t>비전송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H25" authorId="1" shapeId="0">
      <text>
        <r>
          <rPr>
            <b/>
            <sz val="9"/>
            <color indexed="81"/>
            <rFont val="Tahoma"/>
            <family val="2"/>
          </rPr>
          <t xml:space="preserve">8/23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</text>
    </comment>
    <comment ref="T25" authorId="1" shapeId="0">
      <text>
        <r>
          <rPr>
            <b/>
            <sz val="9"/>
            <color indexed="81"/>
            <rFont val="Tahoma"/>
            <family val="2"/>
          </rPr>
          <t>PGA-91-24-004</t>
        </r>
      </text>
    </comment>
    <comment ref="E30" authorId="1" shapeId="0">
      <text>
        <r>
          <rPr>
            <sz val="9"/>
            <color indexed="81"/>
            <rFont val="Tahoma"/>
            <family val="2"/>
          </rPr>
          <t xml:space="preserve">25.08
Range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600/600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200/200
25.09?? CO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E31" authorId="1" shapeId="0">
      <text>
        <r>
          <rPr>
            <sz val="9"/>
            <color indexed="81"/>
            <rFont val="Tahoma"/>
            <family val="2"/>
          </rPr>
          <t xml:space="preserve">25.08
Range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600/600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200/200
25.09?? CO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H36" authorId="1" shapeId="0">
      <text>
        <r>
          <rPr>
            <b/>
            <sz val="9"/>
            <color indexed="81"/>
            <rFont val="Tahoma"/>
            <family val="2"/>
          </rPr>
          <t xml:space="preserve">24/9/27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</text>
    </comment>
    <comment ref="V36" authorId="1" shapeId="0">
      <text>
        <r>
          <rPr>
            <b/>
            <sz val="9"/>
            <color indexed="81"/>
            <rFont val="Tahoma"/>
            <family val="2"/>
          </rPr>
          <t>26/2/13 
(</t>
        </r>
        <r>
          <rPr>
            <b/>
            <sz val="9"/>
            <color indexed="81"/>
            <rFont val="돋움"/>
            <family val="3"/>
            <charset val="129"/>
          </rPr>
          <t>점검일지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50" authorId="0" shapeId="0">
      <text>
        <r>
          <rPr>
            <b/>
            <sz val="9"/>
            <color indexed="81"/>
            <rFont val="Tahoma"/>
            <family val="2"/>
          </rPr>
          <t>25/8/20
(</t>
        </r>
        <r>
          <rPr>
            <b/>
            <sz val="9"/>
            <color indexed="81"/>
            <rFont val="돋움"/>
            <family val="3"/>
            <charset val="129"/>
          </rPr>
          <t>기준일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U50" authorId="1" shapeId="0">
      <text>
        <r>
          <rPr>
            <b/>
            <sz val="9"/>
            <color indexed="81"/>
            <rFont val="Tahoma"/>
            <family val="2"/>
          </rPr>
          <t xml:space="preserve">25/2/17 </t>
        </r>
        <r>
          <rPr>
            <b/>
            <sz val="9"/>
            <color indexed="81"/>
            <rFont val="돋움"/>
            <family val="3"/>
            <charset val="129"/>
          </rPr>
          <t>차압센서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</t>
        </r>
      </text>
    </comment>
    <comment ref="O54" authorId="0" shapeId="0">
      <text>
        <r>
          <rPr>
            <b/>
            <sz val="9"/>
            <color indexed="81"/>
            <rFont val="Tahoma"/>
            <family val="2"/>
          </rPr>
          <t xml:space="preserve">25/10/21~22
</t>
        </r>
        <r>
          <rPr>
            <b/>
            <sz val="9"/>
            <color indexed="81"/>
            <rFont val="돋움"/>
            <family val="3"/>
            <charset val="129"/>
          </rPr>
          <t>산소만</t>
        </r>
        <r>
          <rPr>
            <b/>
            <sz val="9"/>
            <color indexed="81"/>
            <rFont val="Tahoma"/>
            <family val="2"/>
          </rPr>
          <t xml:space="preserve"> 25/11/3</t>
        </r>
      </text>
    </comment>
    <comment ref="U54" authorId="1" shapeId="0">
      <text>
        <r>
          <rPr>
            <b/>
            <sz val="9"/>
            <color indexed="81"/>
            <rFont val="Tahoma"/>
            <family val="2"/>
          </rPr>
          <t xml:space="preserve">25/9/29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E57" authorId="1" shapeId="0">
      <text>
        <r>
          <rPr>
            <b/>
            <sz val="9"/>
            <color indexed="81"/>
            <rFont val="Tahoma"/>
            <family val="2"/>
          </rPr>
          <t xml:space="preserve">24.08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</text>
    </comment>
    <comment ref="O58" authorId="0" shapeId="0">
      <text>
        <r>
          <rPr>
            <b/>
            <sz val="9"/>
            <color indexed="81"/>
            <rFont val="Tahoma"/>
            <family val="2"/>
          </rPr>
          <t>25/8/20
(</t>
        </r>
        <r>
          <rPr>
            <b/>
            <sz val="9"/>
            <color indexed="81"/>
            <rFont val="돋움"/>
            <family val="3"/>
            <charset val="129"/>
          </rPr>
          <t>기준일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U58" authorId="0" shapeId="0">
      <text>
        <r>
          <rPr>
            <b/>
            <sz val="9"/>
            <color indexed="81"/>
            <rFont val="Tahoma"/>
            <family val="2"/>
          </rPr>
          <t>23/3/8</t>
        </r>
        <r>
          <rPr>
            <b/>
            <sz val="9"/>
            <color indexed="81"/>
            <rFont val="돋움"/>
            <family val="3"/>
            <charset val="129"/>
          </rPr>
          <t xml:space="preserve">
유속계재정도검사진행</t>
        </r>
      </text>
    </comment>
    <comment ref="E61" authorId="1" shapeId="0">
      <text>
        <r>
          <rPr>
            <b/>
            <sz val="9"/>
            <color indexed="81"/>
            <rFont val="Tahoma"/>
            <family val="2"/>
          </rPr>
          <t xml:space="preserve">24.06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</text>
    </comment>
    <comment ref="N62" authorId="0" shapeId="0">
      <text>
        <r>
          <rPr>
            <b/>
            <sz val="9"/>
            <color indexed="81"/>
            <rFont val="돋움"/>
            <family val="3"/>
            <charset val="129"/>
          </rPr>
          <t>외근보고서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O62" authorId="1" shapeId="0">
      <text>
        <r>
          <rPr>
            <b/>
            <sz val="9"/>
            <color indexed="81"/>
            <rFont val="Tahoma"/>
            <family val="2"/>
          </rPr>
          <t>24/8/21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2" authorId="1" shapeId="0">
      <text>
        <r>
          <rPr>
            <b/>
            <sz val="9"/>
            <color indexed="81"/>
            <rFont val="Tahoma"/>
            <family val="2"/>
          </rPr>
          <t xml:space="preserve">25/9/29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E63" authorId="1" shapeId="0">
      <text>
        <r>
          <rPr>
            <b/>
            <sz val="9"/>
            <color indexed="81"/>
            <rFont val="Tahoma"/>
            <family val="2"/>
          </rPr>
          <t>200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500ppm (8/20)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65" authorId="1" shapeId="0">
      <text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당겨서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6" authorId="0" shapeId="0">
      <text>
        <r>
          <rPr>
            <b/>
            <sz val="9"/>
            <color indexed="81"/>
            <rFont val="돋움"/>
            <family val="3"/>
            <charset val="129"/>
          </rPr>
          <t>외근보고서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O66" authorId="1" shapeId="0">
      <text>
        <r>
          <rPr>
            <b/>
            <sz val="9"/>
            <color indexed="81"/>
            <rFont val="Tahoma"/>
            <family val="2"/>
          </rPr>
          <t>24/8/21</t>
        </r>
      </text>
    </comment>
    <comment ref="U66" authorId="1" shapeId="0">
      <text>
        <r>
          <rPr>
            <b/>
            <sz val="9"/>
            <color indexed="81"/>
            <rFont val="Tahoma"/>
            <family val="2"/>
          </rPr>
          <t xml:space="preserve">25/9/29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E67" authorId="1" shapeId="0">
      <text>
        <r>
          <rPr>
            <b/>
            <sz val="9"/>
            <color indexed="81"/>
            <rFont val="Tahoma"/>
            <family val="2"/>
          </rPr>
          <t>200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500ppm (8/20)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0" authorId="0" shapeId="0">
      <text>
        <r>
          <rPr>
            <b/>
            <sz val="9"/>
            <color indexed="81"/>
            <rFont val="돋움"/>
            <family val="3"/>
            <charset val="129"/>
          </rPr>
          <t>외근보고서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O70" authorId="1" shapeId="0">
      <text>
        <r>
          <rPr>
            <b/>
            <sz val="9"/>
            <color indexed="81"/>
            <rFont val="Tahoma"/>
            <family val="2"/>
          </rPr>
          <t>24/8/21</t>
        </r>
      </text>
    </comment>
    <comment ref="U70" authorId="1" shapeId="0">
      <text>
        <r>
          <rPr>
            <b/>
            <sz val="9"/>
            <color indexed="81"/>
            <rFont val="Tahoma"/>
            <family val="2"/>
          </rPr>
          <t xml:space="preserve">25/9/29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E71" authorId="1" shapeId="0">
      <text>
        <r>
          <rPr>
            <b/>
            <sz val="9"/>
            <color indexed="81"/>
            <rFont val="Tahoma"/>
            <family val="2"/>
          </rPr>
          <t>200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500ppm (8/20)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4" authorId="0" shapeId="0">
      <text>
        <r>
          <rPr>
            <b/>
            <sz val="9"/>
            <color indexed="81"/>
            <rFont val="Tahoma"/>
            <family val="2"/>
          </rPr>
          <t>24/9/26~27</t>
        </r>
      </text>
    </comment>
    <comment ref="U74" authorId="1" shapeId="0">
      <text>
        <r>
          <rPr>
            <b/>
            <sz val="9"/>
            <color indexed="81"/>
            <rFont val="Tahoma"/>
            <family val="2"/>
          </rPr>
          <t xml:space="preserve">24/10/25 KTL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</text>
    </comment>
    <comment ref="O77" authorId="0" shapeId="0">
      <text>
        <r>
          <rPr>
            <b/>
            <sz val="9"/>
            <color indexed="81"/>
            <rFont val="Tahoma"/>
            <family val="2"/>
          </rPr>
          <t>24/9/26~27</t>
        </r>
      </text>
    </comment>
    <comment ref="O78" authorId="1" shapeId="0">
      <text>
        <r>
          <rPr>
            <b/>
            <sz val="9"/>
            <color indexed="81"/>
            <rFont val="Tahoma"/>
            <family val="2"/>
          </rPr>
          <t>25/5/21</t>
        </r>
      </text>
    </comment>
    <comment ref="U78" authorId="1" shapeId="0">
      <text>
        <r>
          <rPr>
            <b/>
            <sz val="9"/>
            <color indexed="81"/>
            <rFont val="Tahoma"/>
            <family val="2"/>
          </rPr>
          <t xml:space="preserve">25/5/20 </t>
        </r>
        <r>
          <rPr>
            <b/>
            <sz val="9"/>
            <color indexed="81"/>
            <rFont val="돋움"/>
            <family val="3"/>
            <charset val="129"/>
          </rPr>
          <t>취외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발주처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U80" authorId="1" shapeId="0">
      <text>
        <r>
          <rPr>
            <b/>
            <sz val="9"/>
            <color indexed="81"/>
            <rFont val="Tahoma"/>
            <family val="2"/>
          </rPr>
          <t xml:space="preserve">25/5/20 </t>
        </r>
        <r>
          <rPr>
            <b/>
            <sz val="9"/>
            <color indexed="81"/>
            <rFont val="돋움"/>
            <family val="3"/>
            <charset val="129"/>
          </rPr>
          <t>취외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발주처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82" authorId="1" shapeId="0">
      <text>
        <r>
          <rPr>
            <b/>
            <sz val="9"/>
            <color indexed="81"/>
            <rFont val="Tahoma"/>
            <family val="2"/>
          </rPr>
          <t>26/2/4~4
25/2/2~3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82" authorId="0" shapeId="0">
      <text>
        <r>
          <rPr>
            <b/>
            <sz val="9"/>
            <color indexed="81"/>
            <rFont val="돋움"/>
            <family val="3"/>
            <charset val="129"/>
          </rPr>
          <t>두일테크</t>
        </r>
      </text>
    </comment>
    <comment ref="AA82" authorId="0" shapeId="0">
      <text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회
정기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회</t>
        </r>
      </text>
    </comment>
    <comment ref="AF82" authorId="2" shapeId="0">
      <text>
        <r>
          <rPr>
            <b/>
            <sz val="9"/>
            <color indexed="81"/>
            <rFont val="돋움"/>
            <family val="3"/>
            <charset val="129"/>
          </rPr>
          <t>여분교체</t>
        </r>
      </text>
    </comment>
    <comment ref="O83" authorId="1" shapeId="0">
      <text>
        <r>
          <rPr>
            <b/>
            <sz val="9"/>
            <color indexed="81"/>
            <rFont val="Tahoma"/>
            <family val="2"/>
          </rPr>
          <t>26/2/4~4
25/2/2~3</t>
        </r>
      </text>
    </comment>
    <comment ref="G84" authorId="1" shapeId="0">
      <text>
        <r>
          <rPr>
            <b/>
            <sz val="9"/>
            <color indexed="81"/>
            <rFont val="Tahoma"/>
            <family val="2"/>
          </rPr>
          <t>25/7/17 30</t>
        </r>
        <r>
          <rPr>
            <b/>
            <sz val="9"/>
            <color indexed="81"/>
            <rFont val="돋움"/>
            <family val="3"/>
            <charset val="129"/>
          </rPr>
          <t>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변경발주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4" authorId="1" shapeId="0">
      <text>
        <r>
          <rPr>
            <b/>
            <sz val="9"/>
            <color indexed="81"/>
            <rFont val="Tahoma"/>
            <family val="2"/>
          </rPr>
          <t>26/2/4~4
25/2/2~3</t>
        </r>
      </text>
    </comment>
    <comment ref="O87" authorId="1" shapeId="0">
      <text>
        <r>
          <rPr>
            <b/>
            <sz val="9"/>
            <color indexed="81"/>
            <rFont val="Tahoma"/>
            <family val="2"/>
          </rPr>
          <t>26/1/20</t>
        </r>
      </text>
    </comment>
    <comment ref="U87" authorId="1" shapeId="0">
      <text>
        <r>
          <rPr>
            <b/>
            <sz val="9"/>
            <color indexed="81"/>
            <rFont val="Tahoma"/>
            <family val="2"/>
          </rPr>
          <t xml:space="preserve">25/6/26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91" authorId="1" shapeId="0">
      <text>
        <r>
          <rPr>
            <b/>
            <sz val="9"/>
            <color indexed="81"/>
            <rFont val="돋움"/>
            <family val="3"/>
            <charset val="129"/>
          </rPr>
          <t>기준일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>26.05.29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01.20
(</t>
        </r>
        <r>
          <rPr>
            <b/>
            <sz val="9"/>
            <color indexed="81"/>
            <rFont val="돋움"/>
            <family val="3"/>
            <charset val="129"/>
          </rPr>
          <t>정도검사</t>
        </r>
        <r>
          <rPr>
            <b/>
            <sz val="9"/>
            <color indexed="81"/>
            <rFont val="Tahoma"/>
            <family val="2"/>
          </rPr>
          <t xml:space="preserve"> : 26.01.21)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5" authorId="1" shapeId="0">
      <text>
        <r>
          <rPr>
            <b/>
            <sz val="9"/>
            <color indexed="81"/>
            <rFont val="Tahoma"/>
            <family val="2"/>
          </rPr>
          <t xml:space="preserve">24/10/11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</text>
    </comment>
    <comment ref="O95" authorId="0" shapeId="0">
      <text>
        <r>
          <rPr>
            <sz val="9"/>
            <color indexed="81"/>
            <rFont val="Tahoma"/>
            <family val="2"/>
          </rPr>
          <t>25/7/26</t>
        </r>
      </text>
    </comment>
    <comment ref="P95" authorId="1" shapeId="0">
      <text>
        <r>
          <rPr>
            <b/>
            <sz val="9"/>
            <color indexed="81"/>
            <rFont val="Tahoma"/>
            <family val="2"/>
          </rPr>
          <t xml:space="preserve">7/16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</text>
    </comment>
    <comment ref="U95" authorId="1" shapeId="0">
      <text>
        <r>
          <rPr>
            <b/>
            <sz val="9"/>
            <color indexed="81"/>
            <rFont val="Tahoma"/>
            <family val="2"/>
          </rPr>
          <t xml:space="preserve">25/6/25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H99" authorId="1" shapeId="0">
      <text>
        <r>
          <rPr>
            <b/>
            <sz val="9"/>
            <color indexed="81"/>
            <rFont val="Tahoma"/>
            <family val="2"/>
          </rPr>
          <t>27.01.20</t>
        </r>
      </text>
    </comment>
    <comment ref="O99" authorId="0" shapeId="0">
      <text>
        <r>
          <rPr>
            <b/>
            <sz val="9"/>
            <color indexed="81"/>
            <rFont val="Tahoma"/>
            <family val="2"/>
          </rPr>
          <t xml:space="preserve">25/7/8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사업장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03" authorId="1" shapeId="0">
      <text>
        <r>
          <rPr>
            <b/>
            <sz val="9"/>
            <color indexed="81"/>
            <rFont val="Tahoma"/>
            <family val="2"/>
          </rPr>
          <t>25/2/26
26/2/12~13</t>
        </r>
      </text>
    </comment>
    <comment ref="U103" authorId="1" shapeId="0">
      <text>
        <r>
          <rPr>
            <b/>
            <sz val="9"/>
            <color indexed="81"/>
            <rFont val="Tahoma"/>
            <family val="2"/>
          </rPr>
          <t xml:space="preserve">25/11/5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6" authorId="1" shapeId="0">
      <text>
        <r>
          <rPr>
            <b/>
            <sz val="9"/>
            <color indexed="81"/>
            <rFont val="Tahoma"/>
            <family val="2"/>
          </rPr>
          <t>26/2/12~13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8" authorId="1" shapeId="0">
      <text>
        <r>
          <rPr>
            <b/>
            <sz val="9"/>
            <color indexed="81"/>
            <rFont val="Tahoma"/>
            <family val="2"/>
          </rPr>
          <t xml:space="preserve">25/8/5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P108" authorId="1" shapeId="0">
      <text>
        <r>
          <rPr>
            <sz val="9"/>
            <color indexed="81"/>
            <rFont val="돋움"/>
            <family val="3"/>
            <charset val="129"/>
          </rPr>
          <t>25.08 기준
차기 정도검사 시 Nox Range 변경 필요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08" authorId="1" shapeId="0">
      <text>
        <r>
          <rPr>
            <b/>
            <sz val="9"/>
            <color indexed="81"/>
            <rFont val="Tahoma"/>
            <family val="2"/>
          </rPr>
          <t>25/1/21
25/6/23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9" authorId="1" shapeId="0">
      <text>
        <r>
          <rPr>
            <b/>
            <sz val="9"/>
            <color indexed="81"/>
            <rFont val="돋움"/>
            <family val="3"/>
            <charset val="129"/>
          </rPr>
          <t>레인지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
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4~5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</t>
        </r>
      </text>
    </comment>
    <comment ref="O113" authorId="1" shapeId="0">
      <text>
        <r>
          <rPr>
            <b/>
            <sz val="9"/>
            <color indexed="81"/>
            <rFont val="Tahoma"/>
            <family val="2"/>
          </rPr>
          <t>25/3/26~28</t>
        </r>
      </text>
    </comment>
    <comment ref="P113" authorId="1" shapeId="0">
      <text>
        <r>
          <rPr>
            <b/>
            <sz val="9"/>
            <color indexed="81"/>
            <rFont val="Tahoma"/>
            <family val="2"/>
          </rPr>
          <t>26/3/25-27</t>
        </r>
      </text>
    </comment>
    <comment ref="O114" authorId="1" shapeId="0">
      <text>
        <r>
          <rPr>
            <b/>
            <sz val="9"/>
            <color indexed="81"/>
            <rFont val="Tahoma"/>
            <family val="2"/>
          </rPr>
          <t>25/3/19~21</t>
        </r>
      </text>
    </comment>
    <comment ref="P114" authorId="1" shapeId="0">
      <text>
        <r>
          <rPr>
            <b/>
            <sz val="9"/>
            <color indexed="81"/>
            <rFont val="Tahoma"/>
            <family val="2"/>
          </rPr>
          <t xml:space="preserve">26/3/18~20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14" authorId="1" shapeId="0">
      <text>
        <r>
          <rPr>
            <b/>
            <sz val="9"/>
            <color indexed="81"/>
            <rFont val="Tahoma"/>
            <family val="2"/>
          </rPr>
          <t xml:space="preserve">26/2/13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
25/1/23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116" authorId="1" shapeId="0">
      <text>
        <r>
          <rPr>
            <b/>
            <sz val="9"/>
            <color indexed="81"/>
            <rFont val="Tahoma"/>
            <family val="2"/>
          </rPr>
          <t>25/3/19~21</t>
        </r>
      </text>
    </comment>
    <comment ref="P116" authorId="1" shapeId="0">
      <text>
        <r>
          <rPr>
            <b/>
            <sz val="9"/>
            <color indexed="81"/>
            <rFont val="Tahoma"/>
            <family val="2"/>
          </rPr>
          <t xml:space="preserve">26/3/18~20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</text>
    </comment>
    <comment ref="U116" authorId="1" shapeId="0">
      <text>
        <r>
          <rPr>
            <b/>
            <sz val="9"/>
            <color indexed="81"/>
            <rFont val="Tahoma"/>
            <family val="2"/>
          </rPr>
          <t xml:space="preserve">26/2/13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
25/1/23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8" authorId="1" shapeId="0">
      <text>
        <r>
          <rPr>
            <b/>
            <sz val="9"/>
            <color indexed="81"/>
            <rFont val="Tahoma"/>
            <family val="2"/>
          </rPr>
          <t>25/3/19~21</t>
        </r>
      </text>
    </comment>
    <comment ref="P118" authorId="1" shapeId="0">
      <text>
        <r>
          <rPr>
            <b/>
            <sz val="9"/>
            <color indexed="81"/>
            <rFont val="Tahoma"/>
            <family val="2"/>
          </rPr>
          <t xml:space="preserve">26/3/18~20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18" authorId="1" shapeId="0">
      <text>
        <r>
          <rPr>
            <b/>
            <sz val="9"/>
            <color indexed="81"/>
            <rFont val="Tahoma"/>
            <family val="2"/>
          </rPr>
          <t xml:space="preserve">26/2/13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
25/1/23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0" authorId="1" shapeId="0">
      <text>
        <r>
          <rPr>
            <b/>
            <sz val="9"/>
            <color indexed="81"/>
            <rFont val="Tahoma"/>
            <family val="2"/>
          </rPr>
          <t>25/3/19~21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20" authorId="1" shapeId="0">
      <text>
        <r>
          <rPr>
            <b/>
            <sz val="9"/>
            <color indexed="81"/>
            <rFont val="Tahoma"/>
            <family val="2"/>
          </rPr>
          <t xml:space="preserve">26/3/18~20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</text>
    </comment>
    <comment ref="U120" authorId="1" shapeId="0">
      <text>
        <r>
          <rPr>
            <b/>
            <sz val="9"/>
            <color indexed="81"/>
            <rFont val="Tahoma"/>
            <family val="2"/>
          </rPr>
          <t xml:space="preserve">6/13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124" authorId="1" shapeId="0">
      <text>
        <r>
          <rPr>
            <b/>
            <sz val="9"/>
            <color indexed="81"/>
            <rFont val="Tahoma"/>
            <family val="2"/>
          </rPr>
          <t>25/3/19~21</t>
        </r>
      </text>
    </comment>
    <comment ref="P124" authorId="1" shapeId="0">
      <text>
        <r>
          <rPr>
            <b/>
            <sz val="9"/>
            <color indexed="81"/>
            <rFont val="Tahoma"/>
            <family val="2"/>
          </rPr>
          <t xml:space="preserve">26/3/18~20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24" authorId="1" shapeId="0">
      <text>
        <r>
          <rPr>
            <b/>
            <sz val="9"/>
            <color indexed="81"/>
            <rFont val="Tahoma"/>
            <family val="2"/>
          </rPr>
          <t xml:space="preserve">26/2/13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
25/1/23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8" authorId="1" shapeId="0">
      <text>
        <r>
          <rPr>
            <b/>
            <sz val="9"/>
            <color indexed="81"/>
            <rFont val="Tahoma"/>
            <family val="2"/>
          </rPr>
          <t>24/2/7
26/2/24</t>
        </r>
      </text>
    </comment>
    <comment ref="V128" authorId="1" shapeId="0">
      <text>
        <r>
          <rPr>
            <b/>
            <sz val="9"/>
            <color indexed="81"/>
            <rFont val="Tahoma"/>
            <family val="2"/>
          </rPr>
          <t xml:space="preserve">25/8/19 </t>
        </r>
        <r>
          <rPr>
            <b/>
            <sz val="9"/>
            <color indexed="81"/>
            <rFont val="돋움"/>
            <family val="3"/>
            <charset val="129"/>
          </rPr>
          <t>유속계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반출</t>
        </r>
      </text>
    </comment>
    <comment ref="AE128" authorId="2" shapeId="0">
      <text>
        <r>
          <rPr>
            <b/>
            <sz val="9"/>
            <color indexed="81"/>
            <rFont val="Tahoma"/>
            <family val="2"/>
          </rPr>
          <t>2023-07-31</t>
        </r>
      </text>
    </comment>
    <comment ref="AE130" authorId="2" shapeId="0">
      <text>
        <r>
          <rPr>
            <b/>
            <sz val="9"/>
            <color indexed="81"/>
            <rFont val="Tahoma"/>
            <family val="2"/>
          </rPr>
          <t>2023-08-01</t>
        </r>
      </text>
    </comment>
    <comment ref="N131" authorId="1" shapeId="0">
      <text>
        <r>
          <rPr>
            <b/>
            <sz val="9"/>
            <color indexed="81"/>
            <rFont val="돋움"/>
            <family val="3"/>
            <charset val="129"/>
          </rPr>
          <t>외근보고서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3" authorId="1" shapeId="0">
      <text>
        <r>
          <rPr>
            <b/>
            <sz val="9"/>
            <color indexed="81"/>
            <rFont val="Tahoma"/>
            <family val="2"/>
          </rPr>
          <t>25.11.28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33" authorId="1" shapeId="0">
      <text>
        <r>
          <rPr>
            <b/>
            <sz val="9"/>
            <color indexed="81"/>
            <rFont val="Tahoma"/>
            <family val="2"/>
          </rPr>
          <t xml:space="preserve">25/5/30 </t>
        </r>
        <r>
          <rPr>
            <b/>
            <sz val="9"/>
            <color indexed="81"/>
            <rFont val="돋움"/>
            <family val="3"/>
            <charset val="129"/>
          </rPr>
          <t>취외</t>
        </r>
        <r>
          <rPr>
            <b/>
            <sz val="9"/>
            <color indexed="81"/>
            <rFont val="Tahoma"/>
            <family val="2"/>
          </rPr>
          <t xml:space="preserve">
6/12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U137" authorId="1" shapeId="0">
      <text>
        <r>
          <rPr>
            <b/>
            <sz val="9"/>
            <color indexed="81"/>
            <rFont val="Tahoma"/>
            <family val="2"/>
          </rPr>
          <t xml:space="preserve">26/1/21 </t>
        </r>
        <r>
          <rPr>
            <b/>
            <sz val="9"/>
            <color indexed="81"/>
            <rFont val="돋움"/>
            <family val="3"/>
            <charset val="129"/>
          </rPr>
          <t xml:space="preserve">취외
</t>
        </r>
        <r>
          <rPr>
            <b/>
            <sz val="9"/>
            <color indexed="81"/>
            <rFont val="Tahoma"/>
            <family val="2"/>
          </rPr>
          <t xml:space="preserve">26/1/30 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1" authorId="1" shapeId="0">
      <text>
        <r>
          <rPr>
            <b/>
            <sz val="9"/>
            <color indexed="81"/>
            <rFont val="Tahoma"/>
            <family val="2"/>
          </rPr>
          <t>24.12.26~27</t>
        </r>
      </text>
    </comment>
    <comment ref="U141" authorId="1" shapeId="0">
      <text>
        <r>
          <rPr>
            <b/>
            <sz val="9"/>
            <color indexed="81"/>
            <rFont val="Tahoma"/>
            <family val="2"/>
          </rPr>
          <t xml:space="preserve">25/8/28 </t>
        </r>
        <r>
          <rPr>
            <b/>
            <sz val="9"/>
            <color indexed="81"/>
            <rFont val="돋움"/>
            <family val="3"/>
            <charset val="129"/>
          </rPr>
          <t>유속계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탈거</t>
        </r>
      </text>
    </comment>
    <comment ref="A145" authorId="1" shapeId="0">
      <text>
        <r>
          <rPr>
            <b/>
            <sz val="9"/>
            <color indexed="81"/>
            <rFont val="돋움"/>
            <family val="3"/>
            <charset val="129"/>
          </rPr>
          <t>실 계약서는 2028-01-31 썼는데 발주서가 그렇게 옴
이진호 과장님 12월 중 연장 작업하신다고 함 (26.03.05)</t>
        </r>
      </text>
    </comment>
    <comment ref="O145" authorId="0" shapeId="0">
      <text>
        <r>
          <rPr>
            <b/>
            <sz val="9"/>
            <color indexed="81"/>
            <rFont val="Tahoma"/>
            <family val="2"/>
          </rPr>
          <t>25/10/23~24</t>
        </r>
      </text>
    </comment>
    <comment ref="U145" authorId="1" shapeId="0">
      <text>
        <r>
          <rPr>
            <b/>
            <sz val="9"/>
            <color indexed="81"/>
            <rFont val="Tahoma"/>
            <family val="2"/>
          </rPr>
          <t xml:space="preserve">25/10/1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O153" authorId="0" shapeId="0">
      <text>
        <r>
          <rPr>
            <b/>
            <sz val="9"/>
            <color indexed="81"/>
            <rFont val="Tahoma"/>
            <family val="2"/>
          </rPr>
          <t>25/8/20</t>
        </r>
      </text>
    </comment>
    <comment ref="P153" authorId="1" shapeId="0">
      <text>
        <r>
          <rPr>
            <b/>
            <sz val="9"/>
            <color indexed="81"/>
            <rFont val="Tahoma"/>
            <family val="2"/>
          </rPr>
          <t xml:space="preserve">24/9/23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161" authorId="1" shapeId="0">
      <text>
        <r>
          <rPr>
            <b/>
            <sz val="9"/>
            <color indexed="81"/>
            <rFont val="돋움"/>
            <family val="3"/>
            <charset val="129"/>
          </rPr>
          <t>25.02.18 / 26.02.10
기존대로 진행</t>
        </r>
      </text>
    </comment>
    <comment ref="P161" authorId="1" shapeId="0">
      <text>
        <r>
          <rPr>
            <b/>
            <sz val="9"/>
            <color indexed="81"/>
            <rFont val="Tahoma"/>
            <family val="2"/>
          </rPr>
          <t>25/12/16</t>
        </r>
      </text>
    </comment>
    <comment ref="H163" authorId="0" shapeId="0">
      <text>
        <r>
          <rPr>
            <b/>
            <sz val="9"/>
            <color indexed="81"/>
            <rFont val="돋움"/>
            <family val="3"/>
            <charset val="129"/>
          </rPr>
          <t>비전송으로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유효기간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  <r>
          <rPr>
            <b/>
            <sz val="9"/>
            <color indexed="81"/>
            <rFont val="Tahoma"/>
            <family val="2"/>
          </rPr>
          <t xml:space="preserve"> (2</t>
        </r>
        <r>
          <rPr>
            <b/>
            <sz val="9"/>
            <color indexed="81"/>
            <rFont val="돋움"/>
            <family val="3"/>
            <charset val="129"/>
          </rPr>
          <t>년마다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166" authorId="0" shapeId="0">
      <text>
        <r>
          <rPr>
            <b/>
            <sz val="9"/>
            <color indexed="81"/>
            <rFont val="돋움"/>
            <family val="3"/>
            <charset val="129"/>
          </rPr>
          <t>비전송으로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유효기간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  <r>
          <rPr>
            <b/>
            <sz val="9"/>
            <color indexed="81"/>
            <rFont val="Tahoma"/>
            <family val="2"/>
          </rPr>
          <t xml:space="preserve"> (2</t>
        </r>
        <r>
          <rPr>
            <b/>
            <sz val="9"/>
            <color indexed="81"/>
            <rFont val="돋움"/>
            <family val="3"/>
            <charset val="129"/>
          </rPr>
          <t>년마다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67" authorId="0" shapeId="0">
      <text>
        <r>
          <rPr>
            <b/>
            <sz val="9"/>
            <color indexed="81"/>
            <rFont val="돋움"/>
            <family val="3"/>
            <charset val="129"/>
          </rPr>
          <t>25/10/15~16</t>
        </r>
      </text>
    </comment>
    <comment ref="U167" authorId="1" shapeId="0">
      <text>
        <r>
          <rPr>
            <b/>
            <sz val="9"/>
            <color indexed="81"/>
            <rFont val="Tahoma"/>
            <family val="2"/>
          </rPr>
          <t xml:space="preserve">25/9/18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9" authorId="0" shapeId="0">
      <text>
        <r>
          <rPr>
            <b/>
            <sz val="9"/>
            <color indexed="81"/>
            <rFont val="돋움"/>
            <family val="3"/>
            <charset val="129"/>
          </rPr>
          <t>25/10/15~16</t>
        </r>
      </text>
    </comment>
    <comment ref="U169" authorId="1" shapeId="0">
      <text>
        <r>
          <rPr>
            <b/>
            <sz val="9"/>
            <color indexed="81"/>
            <rFont val="Tahoma"/>
            <family val="2"/>
          </rPr>
          <t xml:space="preserve">25/9/18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O171" authorId="0" shapeId="0">
      <text>
        <r>
          <rPr>
            <b/>
            <sz val="9"/>
            <color indexed="81"/>
            <rFont val="돋움"/>
            <family val="3"/>
            <charset val="129"/>
          </rPr>
          <t>25/8/12</t>
        </r>
      </text>
    </comment>
    <comment ref="U171" authorId="1" shapeId="0">
      <text>
        <r>
          <rPr>
            <b/>
            <sz val="9"/>
            <color indexed="81"/>
            <rFont val="돋움"/>
            <family val="3"/>
            <charset val="129"/>
          </rPr>
          <t>25/9/18 완료</t>
        </r>
      </text>
    </comment>
    <comment ref="O173" authorId="1" shapeId="0">
      <text>
        <r>
          <rPr>
            <b/>
            <sz val="9"/>
            <color indexed="81"/>
            <rFont val="Tahoma"/>
            <family val="2"/>
          </rPr>
          <t>25/8/12</t>
        </r>
      </text>
    </comment>
    <comment ref="U173" authorId="1" shapeId="0">
      <text>
        <r>
          <rPr>
            <b/>
            <sz val="9"/>
            <color indexed="81"/>
            <rFont val="Tahoma"/>
            <family val="2"/>
          </rPr>
          <t xml:space="preserve">25/9/18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75" authorId="1" shapeId="0">
      <text>
        <r>
          <rPr>
            <b/>
            <sz val="9"/>
            <color indexed="81"/>
            <rFont val="Tahoma"/>
            <family val="2"/>
          </rPr>
          <t xml:space="preserve">6/10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AC175" authorId="1" shapeId="0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110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>,
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115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H176" authorId="1" shapeId="0">
      <text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관리안함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77" authorId="0" shapeId="0">
      <text>
        <r>
          <rPr>
            <b/>
            <sz val="9"/>
            <color indexed="81"/>
            <rFont val="Tahoma"/>
            <family val="2"/>
          </rPr>
          <t xml:space="preserve">25/9/8~9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</text>
    </comment>
    <comment ref="U177" authorId="1" shapeId="0">
      <text>
        <r>
          <rPr>
            <b/>
            <sz val="9"/>
            <color indexed="81"/>
            <rFont val="Tahoma"/>
            <family val="2"/>
          </rPr>
          <t>KTL 4/1 (</t>
        </r>
        <r>
          <rPr>
            <b/>
            <sz val="9"/>
            <color indexed="81"/>
            <rFont val="돋움"/>
            <family val="3"/>
            <charset val="129"/>
          </rPr>
          <t>발주처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79" authorId="0" shapeId="0">
      <text>
        <r>
          <rPr>
            <b/>
            <sz val="9"/>
            <color indexed="81"/>
            <rFont val="Tahoma"/>
            <family val="2"/>
          </rPr>
          <t xml:space="preserve">25/9/8~9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</text>
    </comment>
    <comment ref="O181" authorId="1" shapeId="0">
      <text>
        <r>
          <rPr>
            <b/>
            <sz val="9"/>
            <color indexed="81"/>
            <rFont val="Tahoma"/>
            <family val="2"/>
          </rPr>
          <t>25/4/25</t>
        </r>
      </text>
    </comment>
    <comment ref="P181" authorId="1" shapeId="0">
      <text>
        <r>
          <rPr>
            <b/>
            <sz val="9"/>
            <color indexed="81"/>
            <rFont val="Tahoma"/>
            <family val="2"/>
          </rPr>
          <t xml:space="preserve">25/4/25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81" authorId="1" shapeId="0">
      <text>
        <r>
          <rPr>
            <b/>
            <sz val="9"/>
            <color indexed="81"/>
            <rFont val="Tahoma"/>
            <family val="2"/>
          </rPr>
          <t xml:space="preserve">25/11/27 </t>
        </r>
        <r>
          <rPr>
            <b/>
            <sz val="9"/>
            <color indexed="81"/>
            <rFont val="돋움"/>
            <family val="3"/>
            <charset val="129"/>
          </rPr>
          <t xml:space="preserve">취외
</t>
        </r>
        <r>
          <rPr>
            <b/>
            <sz val="9"/>
            <color indexed="81"/>
            <rFont val="Tahoma"/>
            <family val="2"/>
          </rPr>
          <t xml:space="preserve">25/12/16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H182" authorId="1" shapeId="0">
      <text>
        <r>
          <rPr>
            <b/>
            <sz val="9"/>
            <color indexed="81"/>
            <rFont val="Tahoma"/>
            <family val="2"/>
          </rPr>
          <t xml:space="preserve">25/10/31
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185" authorId="1" shapeId="0">
      <text>
        <r>
          <rPr>
            <b/>
            <sz val="9"/>
            <color indexed="81"/>
            <rFont val="Tahoma"/>
            <family val="2"/>
          </rPr>
          <t xml:space="preserve">26.01.15 </t>
        </r>
        <r>
          <rPr>
            <b/>
            <sz val="9"/>
            <color indexed="81"/>
            <rFont val="돋움"/>
            <family val="3"/>
            <charset val="129"/>
          </rPr>
          <t xml:space="preserve">교체
</t>
        </r>
        <r>
          <rPr>
            <b/>
            <sz val="9"/>
            <color indexed="81"/>
            <rFont val="Tahoma"/>
            <family val="2"/>
          </rPr>
          <t xml:space="preserve">(1/14 </t>
        </r>
        <r>
          <rPr>
            <b/>
            <sz val="9"/>
            <color indexed="81"/>
            <rFont val="돋움"/>
            <family val="3"/>
            <charset val="129"/>
          </rPr>
          <t>현장수령</t>
        </r>
        <r>
          <rPr>
            <b/>
            <sz val="9"/>
            <color indexed="81"/>
            <rFont val="Tahoma"/>
            <family val="2"/>
          </rPr>
          <t xml:space="preserve">..)
</t>
        </r>
        <r>
          <rPr>
            <b/>
            <sz val="9"/>
            <color indexed="81"/>
            <rFont val="돋움"/>
            <family val="3"/>
            <charset val="129"/>
          </rPr>
          <t>추정일자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I185" authorId="1" shapeId="0">
      <text>
        <r>
          <rPr>
            <b/>
            <sz val="9"/>
            <color indexed="81"/>
            <rFont val="돋움"/>
            <family val="3"/>
            <charset val="129"/>
          </rPr>
          <t>이전꺼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갖고있다고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89" authorId="1" shapeId="0">
      <text>
        <r>
          <rPr>
            <b/>
            <sz val="9"/>
            <color indexed="81"/>
            <rFont val="Tahoma"/>
            <family val="2"/>
          </rPr>
          <t>25/4/25</t>
        </r>
      </text>
    </comment>
    <comment ref="P189" authorId="1" shapeId="0">
      <text>
        <r>
          <rPr>
            <b/>
            <sz val="9"/>
            <color indexed="81"/>
            <rFont val="Tahoma"/>
            <family val="2"/>
          </rPr>
          <t xml:space="preserve">25/4/25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</text>
    </comment>
    <comment ref="U189" authorId="0" shapeId="0">
      <text>
        <r>
          <rPr>
            <b/>
            <sz val="9"/>
            <color indexed="81"/>
            <rFont val="돋움"/>
            <family val="3"/>
            <charset val="129"/>
          </rPr>
          <t>추정
이설로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다름
</t>
        </r>
        <r>
          <rPr>
            <b/>
            <sz val="9"/>
            <color indexed="81"/>
            <rFont val="Tahoma"/>
            <family val="2"/>
          </rPr>
          <t xml:space="preserve">26/1/15 </t>
        </r>
        <r>
          <rPr>
            <b/>
            <sz val="9"/>
            <color indexed="81"/>
            <rFont val="돋움"/>
            <family val="3"/>
            <charset val="129"/>
          </rPr>
          <t xml:space="preserve">반출
</t>
        </r>
        <r>
          <rPr>
            <b/>
            <sz val="9"/>
            <color indexed="81"/>
            <rFont val="Tahoma"/>
            <family val="2"/>
          </rPr>
          <t xml:space="preserve">26/1/29 </t>
        </r>
        <r>
          <rPr>
            <b/>
            <sz val="9"/>
            <color indexed="81"/>
            <rFont val="돋움"/>
            <family val="3"/>
            <charset val="129"/>
          </rPr>
          <t>재설치
기준일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2027.01.21</t>
        </r>
      </text>
    </comment>
    <comment ref="V189" authorId="1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O193" authorId="1" shapeId="0">
      <text>
        <r>
          <rPr>
            <b/>
            <sz val="9"/>
            <color indexed="81"/>
            <rFont val="Tahoma"/>
            <family val="2"/>
          </rPr>
          <t>25/10/21</t>
        </r>
      </text>
    </comment>
    <comment ref="U193" authorId="1" shapeId="0">
      <text>
        <r>
          <rPr>
            <b/>
            <sz val="9"/>
            <color indexed="81"/>
            <rFont val="Tahoma"/>
            <family val="2"/>
          </rPr>
          <t xml:space="preserve">25/10/14 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</text>
    </comment>
    <comment ref="O195" authorId="1" shapeId="0">
      <text>
        <r>
          <rPr>
            <b/>
            <sz val="9"/>
            <color indexed="81"/>
            <rFont val="Tahoma"/>
            <family val="2"/>
          </rPr>
          <t>25/9/3~4</t>
        </r>
      </text>
    </comment>
    <comment ref="U195" authorId="1" shapeId="0">
      <text>
        <r>
          <rPr>
            <b/>
            <sz val="9"/>
            <color indexed="81"/>
            <rFont val="Tahoma"/>
            <family val="2"/>
          </rPr>
          <t xml:space="preserve">25/8/6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AE195" authorId="2" shapeId="0">
      <text>
        <r>
          <rPr>
            <b/>
            <sz val="9"/>
            <color indexed="81"/>
            <rFont val="돋움"/>
            <family val="3"/>
            <charset val="129"/>
          </rPr>
          <t>유효기간</t>
        </r>
        <r>
          <rPr>
            <b/>
            <sz val="9"/>
            <color indexed="81"/>
            <rFont val="Tahoma"/>
            <family val="2"/>
          </rPr>
          <t xml:space="preserve"> : 2023.04.27</t>
        </r>
      </text>
    </comment>
    <comment ref="U197" authorId="1" shapeId="0">
      <text>
        <r>
          <rPr>
            <b/>
            <sz val="9"/>
            <color indexed="81"/>
            <rFont val="Tahoma"/>
            <family val="2"/>
          </rPr>
          <t xml:space="preserve">25/8/6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U201" authorId="1" shapeId="0">
      <text>
        <r>
          <rPr>
            <b/>
            <sz val="9"/>
            <color indexed="81"/>
            <rFont val="Tahoma"/>
            <family val="2"/>
          </rPr>
          <t xml:space="preserve">25/8/6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U203" authorId="1" shapeId="0">
      <text>
        <r>
          <rPr>
            <b/>
            <sz val="9"/>
            <color indexed="81"/>
            <rFont val="Tahoma"/>
            <family val="2"/>
          </rPr>
          <t xml:space="preserve">25/8/6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AC205" authorId="1" shapeId="0">
      <text>
        <r>
          <rPr>
            <b/>
            <sz val="9"/>
            <color indexed="81"/>
            <rFont val="Tahoma"/>
            <family val="2"/>
          </rPr>
          <t>210-&gt;250</t>
        </r>
      </text>
    </comment>
    <comment ref="O209" authorId="1" shapeId="0">
      <text>
        <r>
          <rPr>
            <b/>
            <sz val="9"/>
            <color indexed="81"/>
            <rFont val="Tahoma"/>
            <family val="2"/>
          </rPr>
          <t>2/16</t>
        </r>
      </text>
    </comment>
    <comment ref="O213" authorId="1" shapeId="0">
      <text>
        <r>
          <rPr>
            <b/>
            <sz val="9"/>
            <color indexed="81"/>
            <rFont val="Tahoma"/>
            <family val="2"/>
          </rPr>
          <t>25/11/17~18</t>
        </r>
      </text>
    </comment>
    <comment ref="U213" authorId="1" shapeId="0">
      <text>
        <r>
          <rPr>
            <b/>
            <sz val="9"/>
            <color indexed="81"/>
            <rFont val="Tahoma"/>
            <family val="2"/>
          </rPr>
          <t xml:space="preserve">25/8/1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5" authorId="1" shapeId="0">
      <text>
        <r>
          <rPr>
            <b/>
            <sz val="9"/>
            <color indexed="81"/>
            <rFont val="Tahoma"/>
            <family val="2"/>
          </rPr>
          <t>25/11/17~18</t>
        </r>
      </text>
    </comment>
    <comment ref="O217" authorId="1" shapeId="0">
      <text>
        <r>
          <rPr>
            <b/>
            <sz val="9"/>
            <color indexed="81"/>
            <rFont val="Tahoma"/>
            <family val="2"/>
          </rPr>
          <t>25/11/17~18</t>
        </r>
      </text>
    </comment>
    <comment ref="O219" authorId="1" shapeId="0">
      <text>
        <r>
          <rPr>
            <b/>
            <sz val="9"/>
            <color indexed="81"/>
            <rFont val="Tahoma"/>
            <family val="2"/>
          </rPr>
          <t>25/11/17~18</t>
        </r>
      </text>
    </comment>
    <comment ref="O221" authorId="1" shapeId="0">
      <text>
        <r>
          <rPr>
            <b/>
            <sz val="9"/>
            <color indexed="81"/>
            <rFont val="Tahoma"/>
            <family val="2"/>
          </rPr>
          <t>25/3/26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21" authorId="1" shapeId="0">
      <text>
        <r>
          <rPr>
            <b/>
            <sz val="9"/>
            <color indexed="81"/>
            <rFont val="Tahoma"/>
            <family val="2"/>
          </rPr>
          <t xml:space="preserve">25/4/14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U223" authorId="1" shapeId="0">
      <text>
        <r>
          <rPr>
            <b/>
            <sz val="9"/>
            <color indexed="81"/>
            <rFont val="Tahoma"/>
            <family val="2"/>
          </rPr>
          <t xml:space="preserve">24/5/13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233" authorId="1" shapeId="0">
      <text>
        <r>
          <rPr>
            <sz val="9"/>
            <color indexed="81"/>
            <rFont val="Tahoma"/>
            <family val="2"/>
          </rPr>
          <t xml:space="preserve">
25/5/8~9</t>
        </r>
      </text>
    </comment>
    <comment ref="U233" authorId="1" shapeId="0">
      <text>
        <r>
          <rPr>
            <b/>
            <sz val="9"/>
            <color indexed="81"/>
            <rFont val="Tahoma"/>
            <family val="2"/>
          </rPr>
          <t xml:space="preserve">25/9/17 </t>
        </r>
        <r>
          <rPr>
            <b/>
            <sz val="9"/>
            <color indexed="81"/>
            <rFont val="돋움"/>
            <family val="3"/>
            <charset val="129"/>
          </rPr>
          <t>재설치완료</t>
        </r>
      </text>
    </comment>
    <comment ref="V233" authorId="1" shapeId="0">
      <text>
        <r>
          <rPr>
            <b/>
            <sz val="9"/>
            <color indexed="81"/>
            <rFont val="Tahoma"/>
            <family val="2"/>
          </rPr>
          <t xml:space="preserve">25/8/21 </t>
        </r>
        <r>
          <rPr>
            <b/>
            <sz val="9"/>
            <color indexed="81"/>
            <rFont val="돋움"/>
            <family val="3"/>
            <charset val="129"/>
          </rPr>
          <t>취외</t>
        </r>
      </text>
    </comment>
    <comment ref="H263" authorId="1" shapeId="0">
      <text>
        <r>
          <rPr>
            <b/>
            <sz val="9"/>
            <color indexed="81"/>
            <rFont val="돋움"/>
            <family val="3"/>
            <charset val="129"/>
          </rPr>
          <t>리크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발생으로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교환</t>
        </r>
      </text>
    </comment>
    <comment ref="N270" authorId="0" shapeId="0">
      <text>
        <r>
          <rPr>
            <b/>
            <sz val="9"/>
            <color indexed="81"/>
            <rFont val="돋움"/>
            <family val="3"/>
            <charset val="129"/>
          </rPr>
          <t>김가영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예상일</t>
        </r>
      </text>
    </comment>
    <comment ref="O270" authorId="1" shapeId="0">
      <text>
        <r>
          <rPr>
            <b/>
            <sz val="9"/>
            <color indexed="81"/>
            <rFont val="Tahoma"/>
            <family val="2"/>
          </rPr>
          <t>25/1/15</t>
        </r>
      </text>
    </comment>
    <comment ref="U270" authorId="1" shapeId="0">
      <text>
        <r>
          <rPr>
            <b/>
            <sz val="9"/>
            <color indexed="81"/>
            <rFont val="Tahoma"/>
            <family val="2"/>
          </rPr>
          <t xml:space="preserve">24/11/6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N272" authorId="0" shapeId="0">
      <text>
        <r>
          <rPr>
            <b/>
            <sz val="9"/>
            <color indexed="81"/>
            <rFont val="돋움"/>
            <family val="3"/>
            <charset val="129"/>
          </rPr>
          <t>김가영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예상일</t>
        </r>
      </text>
    </comment>
    <comment ref="O272" authorId="1" shapeId="0">
      <text>
        <r>
          <rPr>
            <b/>
            <sz val="9"/>
            <color indexed="81"/>
            <rFont val="Tahoma"/>
            <family val="2"/>
          </rPr>
          <t>25/7/2</t>
        </r>
      </text>
    </comment>
    <comment ref="U272" authorId="1" shapeId="0">
      <text>
        <r>
          <rPr>
            <b/>
            <sz val="9"/>
            <color indexed="81"/>
            <rFont val="Tahoma"/>
            <family val="2"/>
          </rPr>
          <t xml:space="preserve">25/9/12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274" authorId="1" shapeId="0">
      <text>
        <r>
          <rPr>
            <b/>
            <sz val="9"/>
            <color indexed="81"/>
            <rFont val="Tahoma"/>
            <family val="2"/>
          </rPr>
          <t>4/26</t>
        </r>
      </text>
    </comment>
    <comment ref="U274" authorId="1" shapeId="0">
      <text>
        <r>
          <rPr>
            <b/>
            <sz val="9"/>
            <color indexed="81"/>
            <rFont val="Tahoma"/>
            <family val="2"/>
          </rPr>
          <t xml:space="preserve">25/12/11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N283" authorId="0" shapeId="0">
      <text>
        <r>
          <rPr>
            <b/>
            <sz val="9"/>
            <color indexed="81"/>
            <rFont val="돋움"/>
            <family val="3"/>
            <charset val="129"/>
          </rPr>
          <t>추정</t>
        </r>
      </text>
    </comment>
    <comment ref="O283" authorId="1" shapeId="0">
      <text>
        <r>
          <rPr>
            <b/>
            <sz val="9"/>
            <color indexed="81"/>
            <rFont val="Tahoma"/>
            <family val="2"/>
          </rPr>
          <t>24/12/17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83" authorId="1" shapeId="0">
      <text>
        <r>
          <rPr>
            <b/>
            <sz val="9"/>
            <color indexed="81"/>
            <rFont val="Tahoma"/>
            <family val="2"/>
          </rPr>
          <t xml:space="preserve">11/17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N286" authorId="0" shapeId="0">
      <text>
        <r>
          <rPr>
            <b/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86" authorId="1" shapeId="0">
      <text>
        <r>
          <rPr>
            <b/>
            <sz val="9"/>
            <color indexed="81"/>
            <rFont val="Tahoma"/>
            <family val="2"/>
          </rPr>
          <t>24/12/17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86" authorId="0" shapeId="0">
      <text>
        <r>
          <rPr>
            <b/>
            <sz val="9"/>
            <color indexed="81"/>
            <rFont val="Tahoma"/>
            <family val="2"/>
          </rPr>
          <t xml:space="preserve">22/11/16(PGA-94)-&gt;23/4/17(PGA-93) </t>
        </r>
        <r>
          <rPr>
            <b/>
            <sz val="9"/>
            <color indexed="81"/>
            <rFont val="돋움"/>
            <family val="3"/>
            <charset val="129"/>
          </rPr>
          <t>다시취득</t>
        </r>
      </text>
    </comment>
    <comment ref="U286" authorId="1" shapeId="0">
      <text>
        <r>
          <rPr>
            <b/>
            <sz val="9"/>
            <color indexed="81"/>
            <rFont val="Tahoma"/>
            <family val="2"/>
          </rPr>
          <t xml:space="preserve">11/17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289" authorId="0" shapeId="0">
      <text>
        <r>
          <rPr>
            <b/>
            <sz val="9"/>
            <color indexed="81"/>
            <rFont val="Tahoma"/>
            <family val="2"/>
          </rPr>
          <t>25/7/16</t>
        </r>
      </text>
    </comment>
    <comment ref="U289" authorId="0" shapeId="0">
      <text>
        <r>
          <rPr>
            <b/>
            <sz val="9"/>
            <color indexed="81"/>
            <rFont val="Tahoma"/>
            <family val="2"/>
          </rPr>
          <t xml:space="preserve">25/7/16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O292" authorId="0" shapeId="0">
      <text>
        <r>
          <rPr>
            <b/>
            <sz val="9"/>
            <color indexed="81"/>
            <rFont val="Tahoma"/>
            <family val="2"/>
          </rPr>
          <t>25/7/16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92" authorId="0" shapeId="0">
      <text>
        <r>
          <rPr>
            <b/>
            <sz val="9"/>
            <color indexed="81"/>
            <rFont val="Tahoma"/>
            <family val="2"/>
          </rPr>
          <t xml:space="preserve">21/8/11 </t>
        </r>
        <r>
          <rPr>
            <b/>
            <sz val="9"/>
            <color indexed="81"/>
            <rFont val="돋움"/>
            <family val="3"/>
            <charset val="129"/>
          </rPr>
          <t>유속변경정도검사</t>
        </r>
        <r>
          <rPr>
            <b/>
            <sz val="9"/>
            <color indexed="81"/>
            <rFont val="Tahoma"/>
            <family val="2"/>
          </rPr>
          <t>(1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)
25/8/29 </t>
        </r>
        <r>
          <rPr>
            <b/>
            <sz val="9"/>
            <color indexed="81"/>
            <rFont val="돋움"/>
            <family val="3"/>
            <charset val="129"/>
          </rPr>
          <t>유속계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취외</t>
        </r>
      </text>
    </comment>
    <comment ref="O295" authorId="0" shapeId="0">
      <text>
        <r>
          <rPr>
            <b/>
            <sz val="9"/>
            <color indexed="81"/>
            <rFont val="Tahoma"/>
            <family val="2"/>
          </rPr>
          <t>25/7/10</t>
        </r>
      </text>
    </comment>
    <comment ref="U295" authorId="0" shapeId="0">
      <text>
        <r>
          <rPr>
            <b/>
            <sz val="9"/>
            <color indexed="81"/>
            <rFont val="Tahoma"/>
            <family val="2"/>
          </rPr>
          <t>25/10/13</t>
        </r>
      </text>
    </comment>
    <comment ref="O298" authorId="0" shapeId="0">
      <text>
        <r>
          <rPr>
            <b/>
            <sz val="9"/>
            <color indexed="81"/>
            <rFont val="Tahoma"/>
            <family val="2"/>
          </rPr>
          <t xml:space="preserve">25/8/7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U298" authorId="1" shapeId="0">
      <text>
        <r>
          <rPr>
            <b/>
            <sz val="9"/>
            <color indexed="81"/>
            <rFont val="Tahoma"/>
            <family val="2"/>
          </rPr>
          <t xml:space="preserve">25/4/3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O300" authorId="1" shapeId="0">
      <text>
        <r>
          <rPr>
            <b/>
            <sz val="9"/>
            <color indexed="81"/>
            <rFont val="Tahoma"/>
            <family val="2"/>
          </rPr>
          <t>25/11/5</t>
        </r>
      </text>
    </comment>
    <comment ref="U300" authorId="1" shapeId="0">
      <text>
        <r>
          <rPr>
            <b/>
            <sz val="9"/>
            <color indexed="81"/>
            <rFont val="Tahoma"/>
            <family val="2"/>
          </rPr>
          <t xml:space="preserve">25/7/9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O302" authorId="0" shapeId="0">
      <text>
        <r>
          <rPr>
            <b/>
            <sz val="9"/>
            <color indexed="81"/>
            <rFont val="Tahoma"/>
            <family val="2"/>
          </rPr>
          <t xml:space="preserve">25/8/7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U302" authorId="1" shapeId="0">
      <text>
        <r>
          <rPr>
            <b/>
            <sz val="9"/>
            <color indexed="81"/>
            <rFont val="Tahoma"/>
            <family val="2"/>
          </rPr>
          <t xml:space="preserve">25/4/3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O304" authorId="1" shapeId="0">
      <text>
        <r>
          <rPr>
            <b/>
            <sz val="9"/>
            <color indexed="81"/>
            <rFont val="Tahoma"/>
            <family val="2"/>
          </rPr>
          <t>25/11/5</t>
        </r>
      </text>
    </comment>
    <comment ref="U304" authorId="1" shapeId="0">
      <text>
        <r>
          <rPr>
            <b/>
            <sz val="9"/>
            <color indexed="81"/>
            <rFont val="Tahoma"/>
            <family val="2"/>
          </rPr>
          <t xml:space="preserve">25/7/9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</text>
    </comment>
    <comment ref="O306" authorId="1" shapeId="0">
      <text>
        <r>
          <rPr>
            <b/>
            <sz val="9"/>
            <color indexed="81"/>
            <rFont val="Tahoma"/>
            <family val="2"/>
          </rPr>
          <t>3/26</t>
        </r>
      </text>
    </comment>
    <comment ref="U306" authorId="1" shapeId="0">
      <text>
        <r>
          <rPr>
            <b/>
            <sz val="9"/>
            <color indexed="81"/>
            <rFont val="Tahoma"/>
            <family val="2"/>
          </rPr>
          <t xml:space="preserve">25/12/26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11" authorId="0" shapeId="0">
      <text>
        <r>
          <rPr>
            <b/>
            <sz val="9"/>
            <color indexed="81"/>
            <rFont val="Tahoma"/>
            <family val="2"/>
          </rPr>
          <t>25/10/1</t>
        </r>
      </text>
    </comment>
    <comment ref="U311" authorId="0" shapeId="0">
      <text>
        <r>
          <rPr>
            <b/>
            <sz val="9"/>
            <color indexed="81"/>
            <rFont val="Tahoma"/>
            <family val="2"/>
          </rPr>
          <t xml:space="preserve">25/9/9 </t>
        </r>
        <r>
          <rPr>
            <b/>
            <sz val="9"/>
            <color indexed="81"/>
            <rFont val="돋움"/>
            <family val="3"/>
            <charset val="129"/>
          </rPr>
          <t>유속계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315" authorId="1" shapeId="0">
      <text>
        <r>
          <rPr>
            <b/>
            <sz val="9"/>
            <color indexed="81"/>
            <rFont val="Tahoma"/>
            <family val="2"/>
          </rPr>
          <t>25/1/10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1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23/6/5 </t>
        </r>
        <r>
          <rPr>
            <sz val="9"/>
            <color indexed="81"/>
            <rFont val="돋움"/>
            <family val="3"/>
            <charset val="129"/>
          </rPr>
          <t>유속변경
25/6/27 설치</t>
        </r>
      </text>
    </comment>
    <comment ref="O317" authorId="1" shapeId="0">
      <text>
        <r>
          <rPr>
            <b/>
            <sz val="9"/>
            <color indexed="81"/>
            <rFont val="Tahoma"/>
            <family val="2"/>
          </rPr>
          <t xml:space="preserve">8/13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9" authorId="1" shapeId="0">
      <text>
        <r>
          <rPr>
            <b/>
            <sz val="9"/>
            <color indexed="81"/>
            <rFont val="Tahoma"/>
            <family val="2"/>
          </rPr>
          <t xml:space="preserve">24/2/22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9" authorId="0" shapeId="0">
      <text>
        <r>
          <rPr>
            <b/>
            <sz val="9"/>
            <color indexed="81"/>
            <rFont val="돋움"/>
            <family val="3"/>
            <charset val="129"/>
          </rPr>
          <t>영남CS 필증확인함</t>
        </r>
      </text>
    </comment>
    <comment ref="O319" authorId="1" shapeId="0">
      <text>
        <r>
          <rPr>
            <b/>
            <sz val="9"/>
            <color indexed="81"/>
            <rFont val="Tahoma"/>
            <family val="2"/>
          </rPr>
          <t xml:space="preserve">25/1/17 </t>
        </r>
        <r>
          <rPr>
            <b/>
            <sz val="9"/>
            <color indexed="81"/>
            <rFont val="돋움"/>
            <family val="3"/>
            <charset val="129"/>
          </rPr>
          <t>시행
기준일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O321" authorId="1" shapeId="0">
      <text>
        <r>
          <rPr>
            <b/>
            <sz val="9"/>
            <color indexed="81"/>
            <rFont val="Tahoma"/>
            <family val="2"/>
          </rPr>
          <t>25/12/2</t>
        </r>
      </text>
    </comment>
    <comment ref="O328" authorId="1" shapeId="0">
      <text>
        <r>
          <rPr>
            <b/>
            <sz val="9"/>
            <color indexed="81"/>
            <rFont val="Tahoma"/>
            <family val="2"/>
          </rPr>
          <t>8/6</t>
        </r>
      </text>
    </comment>
    <comment ref="O330" authorId="1" shapeId="0">
      <text>
        <r>
          <rPr>
            <b/>
            <sz val="9"/>
            <color indexed="81"/>
            <rFont val="Tahoma"/>
            <family val="2"/>
          </rPr>
          <t>25/4/17~18</t>
        </r>
      </text>
    </comment>
    <comment ref="U330" authorId="1" shapeId="0">
      <text>
        <r>
          <rPr>
            <b/>
            <sz val="9"/>
            <color indexed="81"/>
            <rFont val="Tahoma"/>
            <family val="2"/>
          </rPr>
          <t xml:space="preserve">25/1/23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34" authorId="1" shapeId="0">
      <text>
        <r>
          <rPr>
            <b/>
            <sz val="9"/>
            <color indexed="81"/>
            <rFont val="Tahoma"/>
            <family val="2"/>
          </rPr>
          <t xml:space="preserve">24/4/3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O334" authorId="1" shapeId="0">
      <text>
        <r>
          <rPr>
            <b/>
            <sz val="9"/>
            <color indexed="81"/>
            <rFont val="Tahoma"/>
            <family val="2"/>
          </rPr>
          <t xml:space="preserve">25/4/17~18
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이유로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앞당겨서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시행</t>
        </r>
      </text>
    </comment>
    <comment ref="N336" authorId="0" shapeId="0">
      <text>
        <r>
          <rPr>
            <b/>
            <sz val="9"/>
            <color indexed="81"/>
            <rFont val="Tahoma"/>
            <family val="2"/>
          </rPr>
          <t xml:space="preserve">4/14 </t>
        </r>
        <r>
          <rPr>
            <b/>
            <sz val="9"/>
            <color indexed="81"/>
            <rFont val="돋움"/>
            <family val="3"/>
            <charset val="129"/>
          </rPr>
          <t>추정</t>
        </r>
      </text>
    </comment>
    <comment ref="O336" authorId="1" shapeId="0">
      <text>
        <r>
          <rPr>
            <b/>
            <sz val="9"/>
            <color indexed="81"/>
            <rFont val="Tahoma"/>
            <family val="2"/>
          </rPr>
          <t>25/4/18</t>
        </r>
      </text>
    </comment>
    <comment ref="U336" authorId="1" shapeId="0">
      <text>
        <r>
          <rPr>
            <b/>
            <sz val="9"/>
            <color indexed="81"/>
            <rFont val="돋움"/>
            <family val="3"/>
            <charset val="129"/>
          </rPr>
          <t>8/12 취외 9/10 재설치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40" authorId="1" shapeId="0">
      <text>
        <r>
          <rPr>
            <b/>
            <sz val="9"/>
            <color indexed="81"/>
            <rFont val="Tahoma"/>
            <family val="2"/>
          </rPr>
          <t>25/9/4</t>
        </r>
      </text>
    </comment>
    <comment ref="U340" authorId="1" shapeId="0">
      <text>
        <r>
          <rPr>
            <b/>
            <sz val="9"/>
            <color indexed="81"/>
            <rFont val="Tahoma"/>
            <family val="2"/>
          </rPr>
          <t xml:space="preserve">7/3 </t>
        </r>
        <r>
          <rPr>
            <b/>
            <sz val="9"/>
            <color indexed="81"/>
            <rFont val="돋움"/>
            <family val="3"/>
            <charset val="129"/>
          </rPr>
          <t>취외</t>
        </r>
        <r>
          <rPr>
            <b/>
            <sz val="9"/>
            <color indexed="81"/>
            <rFont val="Tahoma"/>
            <family val="2"/>
          </rPr>
          <t xml:space="preserve">, 7/17 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</text>
    </comment>
    <comment ref="U343" authorId="1" shapeId="0">
      <text>
        <r>
          <rPr>
            <b/>
            <sz val="9"/>
            <color indexed="81"/>
            <rFont val="돋움"/>
            <family val="3"/>
            <charset val="129"/>
          </rPr>
          <t>유속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정도검사
</t>
        </r>
        <r>
          <rPr>
            <b/>
            <sz val="9"/>
            <color indexed="81"/>
            <rFont val="Tahoma"/>
            <family val="2"/>
          </rPr>
          <t>45m/s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43m/s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25m/s</t>
        </r>
      </text>
    </comment>
    <comment ref="O346" authorId="1" shapeId="0">
      <text>
        <r>
          <rPr>
            <b/>
            <sz val="9"/>
            <color indexed="81"/>
            <rFont val="Tahoma"/>
            <family val="2"/>
          </rPr>
          <t>25/11/27</t>
        </r>
      </text>
    </comment>
    <comment ref="O349" authorId="1" shapeId="0">
      <text>
        <r>
          <rPr>
            <b/>
            <sz val="9"/>
            <color indexed="81"/>
            <rFont val="Tahoma"/>
            <family val="2"/>
          </rPr>
          <t>25/10/28</t>
        </r>
      </text>
    </comment>
    <comment ref="U349" authorId="1" shapeId="0">
      <text>
        <r>
          <rPr>
            <b/>
            <sz val="9"/>
            <color indexed="81"/>
            <rFont val="Tahoma"/>
            <family val="2"/>
          </rPr>
          <t xml:space="preserve">25/7/2 </t>
        </r>
        <r>
          <rPr>
            <b/>
            <sz val="9"/>
            <color indexed="81"/>
            <rFont val="돋움"/>
            <family val="3"/>
            <charset val="129"/>
          </rPr>
          <t xml:space="preserve">취외
</t>
        </r>
        <r>
          <rPr>
            <b/>
            <sz val="9"/>
            <color indexed="81"/>
            <rFont val="Tahoma"/>
            <family val="2"/>
          </rPr>
          <t xml:space="preserve">25/7/22 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</text>
    </comment>
    <comment ref="O351" authorId="1" shapeId="0">
      <text>
        <r>
          <rPr>
            <b/>
            <sz val="9"/>
            <color indexed="81"/>
            <rFont val="Tahoma"/>
            <family val="2"/>
          </rPr>
          <t>25/10/28</t>
        </r>
      </text>
    </comment>
    <comment ref="O359" authorId="1" shapeId="0">
      <text>
        <r>
          <rPr>
            <b/>
            <sz val="9"/>
            <color indexed="81"/>
            <rFont val="Tahoma"/>
            <family val="2"/>
          </rPr>
          <t>25/11/26???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59" authorId="1" shapeId="0">
      <text>
        <r>
          <rPr>
            <b/>
            <sz val="9"/>
            <color indexed="81"/>
            <rFont val="Tahoma"/>
            <family val="2"/>
          </rPr>
          <t xml:space="preserve">25/3/27 </t>
        </r>
        <r>
          <rPr>
            <b/>
            <sz val="9"/>
            <color indexed="81"/>
            <rFont val="돋움"/>
            <family val="3"/>
            <charset val="129"/>
          </rPr>
          <t>반출확정</t>
        </r>
      </text>
    </comment>
    <comment ref="O365" authorId="1" shapeId="0">
      <text>
        <r>
          <rPr>
            <b/>
            <sz val="9"/>
            <color indexed="81"/>
            <rFont val="Tahoma"/>
            <family val="2"/>
          </rPr>
          <t>26/2/10</t>
        </r>
      </text>
    </comment>
    <comment ref="V365" authorId="1" shapeId="0">
      <text>
        <r>
          <rPr>
            <b/>
            <sz val="9"/>
            <color indexed="81"/>
            <rFont val="Tahoma"/>
            <family val="2"/>
          </rPr>
          <t xml:space="preserve">26/2/9~10 
</t>
        </r>
        <r>
          <rPr>
            <b/>
            <sz val="9"/>
            <color indexed="81"/>
            <rFont val="돋움"/>
            <family val="3"/>
            <charset val="129"/>
          </rPr>
          <t>유속계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취외</t>
        </r>
      </text>
    </comment>
    <comment ref="N367" authorId="1" shapeId="0">
      <text>
        <r>
          <rPr>
            <b/>
            <sz val="9"/>
            <color indexed="81"/>
            <rFont val="Tahoma"/>
            <family val="2"/>
          </rPr>
          <t>dust</t>
        </r>
      </text>
    </comment>
    <comment ref="O367" authorId="1" shapeId="0">
      <text>
        <r>
          <rPr>
            <sz val="9"/>
            <color indexed="81"/>
            <rFont val="Tahoma"/>
            <family val="2"/>
          </rPr>
          <t xml:space="preserve">25/12/3
</t>
        </r>
      </text>
    </comment>
    <comment ref="U367" authorId="1" shapeId="0">
      <text>
        <r>
          <rPr>
            <b/>
            <sz val="9"/>
            <color indexed="81"/>
            <rFont val="Tahoma"/>
            <family val="2"/>
          </rPr>
          <t xml:space="preserve">25.11.25 </t>
        </r>
        <r>
          <rPr>
            <b/>
            <sz val="9"/>
            <color indexed="81"/>
            <rFont val="돋움"/>
            <family val="3"/>
            <charset val="129"/>
          </rPr>
          <t>설치완료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72" authorId="1" shapeId="0">
      <text>
        <r>
          <rPr>
            <b/>
            <sz val="9"/>
            <color indexed="81"/>
            <rFont val="Tahoma"/>
            <family val="2"/>
          </rPr>
          <t xml:space="preserve">25/9/16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N384" authorId="1" shapeId="0">
      <text>
        <r>
          <rPr>
            <b/>
            <sz val="9"/>
            <color indexed="81"/>
            <rFont val="돋움"/>
            <family val="3"/>
            <charset val="129"/>
          </rPr>
          <t>외근보고서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T384" authorId="1" shapeId="0">
      <text>
        <r>
          <rPr>
            <b/>
            <sz val="9"/>
            <color indexed="81"/>
            <rFont val="Tahoma"/>
            <family val="2"/>
          </rPr>
          <t>PGA-91-24-017</t>
        </r>
      </text>
    </comment>
    <comment ref="T387" authorId="1" shapeId="0">
      <text>
        <r>
          <rPr>
            <b/>
            <sz val="9"/>
            <color indexed="81"/>
            <rFont val="Tahoma"/>
            <family val="2"/>
          </rPr>
          <t>TK-XF-20M- 23035</t>
        </r>
      </text>
    </comment>
    <comment ref="U387" authorId="1" shapeId="0">
      <text>
        <r>
          <rPr>
            <b/>
            <sz val="9"/>
            <color indexed="81"/>
            <rFont val="Tahoma"/>
            <family val="2"/>
          </rPr>
          <t>6/12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O390" authorId="1" shapeId="0">
      <text>
        <r>
          <rPr>
            <b/>
            <sz val="9"/>
            <color indexed="81"/>
            <rFont val="Tahoma"/>
            <family val="2"/>
          </rPr>
          <t>2/26</t>
        </r>
      </text>
    </comment>
    <comment ref="T390" authorId="0" shapeId="0">
      <text>
        <r>
          <rPr>
            <b/>
            <sz val="9"/>
            <color indexed="81"/>
            <rFont val="돋움"/>
            <family val="3"/>
            <charset val="129"/>
          </rPr>
          <t>김가영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21/8/7_PGA-91-&gt;22/2/3 PGA-92-22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취득</t>
        </r>
      </text>
    </comment>
    <comment ref="H392" authorId="1" shapeId="0">
      <text>
        <r>
          <rPr>
            <b/>
            <sz val="9"/>
            <color indexed="81"/>
            <rFont val="Tahoma"/>
            <family val="2"/>
          </rPr>
          <t xml:space="preserve">25/1/17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</text>
    </comment>
    <comment ref="H393" authorId="1" shapeId="0">
      <text>
        <r>
          <rPr>
            <b/>
            <sz val="9"/>
            <color indexed="81"/>
            <rFont val="Tahoma"/>
            <family val="2"/>
          </rPr>
          <t xml:space="preserve">25/1/17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94" authorId="1" shapeId="0">
      <text>
        <r>
          <rPr>
            <b/>
            <sz val="9"/>
            <color indexed="81"/>
            <rFont val="Tahoma"/>
            <family val="2"/>
          </rPr>
          <t xml:space="preserve">25/1/17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06" authorId="1" shapeId="0">
      <text>
        <r>
          <rPr>
            <b/>
            <sz val="9"/>
            <color indexed="81"/>
            <rFont val="Tahoma"/>
            <family val="2"/>
          </rPr>
          <t>Fuji</t>
        </r>
      </text>
    </comment>
  </commentList>
</comments>
</file>

<file path=xl/sharedStrings.xml><?xml version="1.0" encoding="utf-8"?>
<sst xmlns="http://schemas.openxmlformats.org/spreadsheetml/2006/main" count="2009" uniqueCount="1045">
  <si>
    <t>유지보수 계약 종료일</t>
    <phoneticPr fontId="1" type="noConversion"/>
  </si>
  <si>
    <t>N2</t>
    <phoneticPr fontId="1" type="noConversion"/>
  </si>
  <si>
    <t>NO Zero</t>
    <phoneticPr fontId="1" type="noConversion"/>
  </si>
  <si>
    <t>O2 Zero</t>
    <phoneticPr fontId="1" type="noConversion"/>
  </si>
  <si>
    <t>NO Zero</t>
    <phoneticPr fontId="1" type="noConversion"/>
  </si>
  <si>
    <t>-</t>
    <phoneticPr fontId="1" type="noConversion"/>
  </si>
  <si>
    <t>TMS 전송 유무</t>
    <phoneticPr fontId="1" type="noConversion"/>
  </si>
  <si>
    <t>전송</t>
  </si>
  <si>
    <t>전송</t>
    <phoneticPr fontId="1" type="noConversion"/>
  </si>
  <si>
    <t>동우옵트론</t>
    <phoneticPr fontId="1" type="noConversion"/>
  </si>
  <si>
    <t>발주처</t>
    <phoneticPr fontId="1" type="noConversion"/>
  </si>
  <si>
    <t>비전송</t>
    <phoneticPr fontId="1" type="noConversion"/>
  </si>
  <si>
    <t>설비 가동중지</t>
    <phoneticPr fontId="1" type="noConversion"/>
  </si>
  <si>
    <t>N2</t>
    <phoneticPr fontId="1" type="noConversion"/>
  </si>
  <si>
    <t>2021.01.20</t>
    <phoneticPr fontId="1" type="noConversion"/>
  </si>
  <si>
    <t>발주처</t>
  </si>
  <si>
    <t>NO Zero</t>
    <phoneticPr fontId="1" type="noConversion"/>
  </si>
  <si>
    <t>2021.08.30</t>
    <phoneticPr fontId="1" type="noConversion"/>
  </si>
  <si>
    <t>오뚜기 대풍공장</t>
    <phoneticPr fontId="1" type="noConversion"/>
  </si>
  <si>
    <t>동서식품</t>
    <phoneticPr fontId="1" type="noConversion"/>
  </si>
  <si>
    <t>O2 Zero</t>
    <phoneticPr fontId="1" type="noConversion"/>
  </si>
  <si>
    <t>수완에너지</t>
    <phoneticPr fontId="1" type="noConversion"/>
  </si>
  <si>
    <t>성훈엔지니어링</t>
    <phoneticPr fontId="1" type="noConversion"/>
  </si>
  <si>
    <t>N2</t>
    <phoneticPr fontId="1" type="noConversion"/>
  </si>
  <si>
    <t>N2</t>
    <phoneticPr fontId="1" type="noConversion"/>
  </si>
  <si>
    <t>금산군 소각장</t>
    <phoneticPr fontId="1" type="noConversion"/>
  </si>
  <si>
    <t>계룡소각장</t>
    <phoneticPr fontId="1" type="noConversion"/>
  </si>
  <si>
    <t>오리온엔지니어드카본즈</t>
    <phoneticPr fontId="1" type="noConversion"/>
  </si>
  <si>
    <t>모나리자 전주공장</t>
    <phoneticPr fontId="1" type="noConversion"/>
  </si>
  <si>
    <t>쌍용C&amp;B</t>
    <phoneticPr fontId="1" type="noConversion"/>
  </si>
  <si>
    <t>AT-9601</t>
    <phoneticPr fontId="1" type="noConversion"/>
  </si>
  <si>
    <t>-</t>
    <phoneticPr fontId="1" type="noConversion"/>
  </si>
  <si>
    <t>NO2 :</t>
    <phoneticPr fontId="1" type="noConversion"/>
  </si>
  <si>
    <t>AT7301A</t>
    <phoneticPr fontId="1" type="noConversion"/>
  </si>
  <si>
    <t>AT7701A</t>
    <phoneticPr fontId="1" type="noConversion"/>
  </si>
  <si>
    <t>NH3 :</t>
    <phoneticPr fontId="1" type="noConversion"/>
  </si>
  <si>
    <t>여천NCC 1공장</t>
    <phoneticPr fontId="1" type="noConversion"/>
  </si>
  <si>
    <t>O2 Span</t>
    <phoneticPr fontId="1" type="noConversion"/>
  </si>
  <si>
    <t>여천NCC 3공장</t>
    <phoneticPr fontId="1" type="noConversion"/>
  </si>
  <si>
    <t>전송</t>
    <phoneticPr fontId="1" type="noConversion"/>
  </si>
  <si>
    <t>삼현</t>
    <phoneticPr fontId="1" type="noConversion"/>
  </si>
  <si>
    <t>드림아스콘</t>
    <phoneticPr fontId="1" type="noConversion"/>
  </si>
  <si>
    <t>씨엔씨티에너지 학하CES</t>
    <phoneticPr fontId="1" type="noConversion"/>
  </si>
  <si>
    <t>동우화인켐</t>
    <phoneticPr fontId="1" type="noConversion"/>
  </si>
  <si>
    <t>LG화학 나주공장 KFC</t>
    <phoneticPr fontId="1" type="noConversion"/>
  </si>
  <si>
    <t>WTC</t>
    <phoneticPr fontId="1" type="noConversion"/>
  </si>
  <si>
    <t>수원 하수슬러지 처리시설</t>
    <phoneticPr fontId="1" type="noConversion"/>
  </si>
  <si>
    <t>별내에너지</t>
    <phoneticPr fontId="1" type="noConversion"/>
  </si>
  <si>
    <t>한국주철관</t>
    <phoneticPr fontId="1" type="noConversion"/>
  </si>
  <si>
    <t>NO Zero</t>
  </si>
  <si>
    <t>N2</t>
  </si>
  <si>
    <t>O2 Zero</t>
  </si>
  <si>
    <t>NO, SO2 Zero</t>
  </si>
  <si>
    <t>미적용</t>
  </si>
  <si>
    <t>호남</t>
    <phoneticPr fontId="1" type="noConversion"/>
  </si>
  <si>
    <t>N2 Zero</t>
    <phoneticPr fontId="1" type="noConversion"/>
  </si>
  <si>
    <t>호기</t>
    <phoneticPr fontId="1" type="noConversion"/>
  </si>
  <si>
    <t>WTC</t>
    <phoneticPr fontId="1" type="noConversion"/>
  </si>
  <si>
    <t>전송</t>
    <phoneticPr fontId="1" type="noConversion"/>
  </si>
  <si>
    <t>전송</t>
    <phoneticPr fontId="1" type="noConversion"/>
  </si>
  <si>
    <t>전송</t>
    <phoneticPr fontId="1" type="noConversion"/>
  </si>
  <si>
    <t>WTC</t>
    <phoneticPr fontId="1" type="noConversion"/>
  </si>
  <si>
    <t>비전송</t>
    <phoneticPr fontId="1" type="noConversion"/>
  </si>
  <si>
    <t>LG화학 나주공장 KFC</t>
    <phoneticPr fontId="1" type="noConversion"/>
  </si>
  <si>
    <t>비전송</t>
    <phoneticPr fontId="1" type="noConversion"/>
  </si>
  <si>
    <t>LG화학 나주공장 KFC</t>
    <phoneticPr fontId="1" type="noConversion"/>
  </si>
  <si>
    <t>비전송</t>
    <phoneticPr fontId="1" type="noConversion"/>
  </si>
  <si>
    <t>AT7501A</t>
    <phoneticPr fontId="1" type="noConversion"/>
  </si>
  <si>
    <t>AT7701A</t>
    <phoneticPr fontId="1" type="noConversion"/>
  </si>
  <si>
    <t>계룡소각장</t>
    <phoneticPr fontId="1" type="noConversion"/>
  </si>
  <si>
    <t>전송</t>
    <phoneticPr fontId="1" type="noConversion"/>
  </si>
  <si>
    <t>동서식품</t>
    <phoneticPr fontId="1" type="noConversion"/>
  </si>
  <si>
    <t>동우화인켐</t>
    <phoneticPr fontId="1" type="noConversion"/>
  </si>
  <si>
    <t>동우화인켐</t>
    <phoneticPr fontId="1" type="noConversion"/>
  </si>
  <si>
    <t>드림아스콘</t>
    <phoneticPr fontId="1" type="noConversion"/>
  </si>
  <si>
    <t>모나리자 전주공장</t>
    <phoneticPr fontId="1" type="noConversion"/>
  </si>
  <si>
    <t>별내에너지</t>
    <phoneticPr fontId="1" type="noConversion"/>
  </si>
  <si>
    <t>삼현</t>
    <phoneticPr fontId="1" type="noConversion"/>
  </si>
  <si>
    <t>삼현</t>
    <phoneticPr fontId="1" type="noConversion"/>
  </si>
  <si>
    <t>성훈엔지니어링</t>
    <phoneticPr fontId="1" type="noConversion"/>
  </si>
  <si>
    <t>성훈엔지니어링</t>
    <phoneticPr fontId="1" type="noConversion"/>
  </si>
  <si>
    <t>수완에너지</t>
    <phoneticPr fontId="1" type="noConversion"/>
  </si>
  <si>
    <t>쌍용C&amp;B</t>
    <phoneticPr fontId="1" type="noConversion"/>
  </si>
  <si>
    <t>씨엔씨티에너지 학하CES</t>
    <phoneticPr fontId="1" type="noConversion"/>
  </si>
  <si>
    <t>씨엔씨티에너지 학하CES</t>
    <phoneticPr fontId="1" type="noConversion"/>
  </si>
  <si>
    <t>씨엔씨티에너지 학하CES</t>
    <phoneticPr fontId="1" type="noConversion"/>
  </si>
  <si>
    <t>여천NCC 4공장</t>
    <phoneticPr fontId="1" type="noConversion"/>
  </si>
  <si>
    <t>한국주철관</t>
    <phoneticPr fontId="1" type="noConversion"/>
  </si>
  <si>
    <t>발주처</t>
    <phoneticPr fontId="1" type="noConversion"/>
  </si>
  <si>
    <t>동우옵트론</t>
    <phoneticPr fontId="1" type="noConversion"/>
  </si>
  <si>
    <t>동우옵트론</t>
    <phoneticPr fontId="1" type="noConversion"/>
  </si>
  <si>
    <t>동우옵트론</t>
    <phoneticPr fontId="1" type="noConversion"/>
  </si>
  <si>
    <t>발주처</t>
    <phoneticPr fontId="1" type="noConversion"/>
  </si>
  <si>
    <t>발주처</t>
    <phoneticPr fontId="1" type="noConversion"/>
  </si>
  <si>
    <t>교체일</t>
    <phoneticPr fontId="1" type="noConversion"/>
  </si>
  <si>
    <t>휴스틸</t>
    <phoneticPr fontId="1" type="noConversion"/>
  </si>
  <si>
    <t>삼보산업 서산</t>
    <phoneticPr fontId="1" type="noConversion"/>
  </si>
  <si>
    <t>NO Zero</t>
    <phoneticPr fontId="1" type="noConversion"/>
  </si>
  <si>
    <t>비전송</t>
    <phoneticPr fontId="1" type="noConversion"/>
  </si>
  <si>
    <t>비전송</t>
    <phoneticPr fontId="1" type="noConversion"/>
  </si>
  <si>
    <t>O2 25%</t>
  </si>
  <si>
    <t>HCL 50ppm</t>
  </si>
  <si>
    <t>NO 200ppm</t>
  </si>
  <si>
    <t>NO 500ppm</t>
  </si>
  <si>
    <t>NO 600ppm</t>
  </si>
  <si>
    <t>NO 100ppm</t>
  </si>
  <si>
    <t>NO 200ppm</t>
    <phoneticPr fontId="1" type="noConversion"/>
  </si>
  <si>
    <t>발주처</t>
    <phoneticPr fontId="1" type="noConversion"/>
  </si>
  <si>
    <t>휴스틸</t>
    <phoneticPr fontId="1" type="noConversion"/>
  </si>
  <si>
    <t>NO 600ppm</t>
    <phoneticPr fontId="1" type="noConversion"/>
  </si>
  <si>
    <t>NO 200ppm</t>
    <phoneticPr fontId="1" type="noConversion"/>
  </si>
  <si>
    <t>NO Zero</t>
    <phoneticPr fontId="1" type="noConversion"/>
  </si>
  <si>
    <t>N2</t>
    <phoneticPr fontId="1" type="noConversion"/>
  </si>
  <si>
    <t>NO Zero</t>
    <phoneticPr fontId="1" type="noConversion"/>
  </si>
  <si>
    <t>NO 200ppm</t>
    <phoneticPr fontId="1" type="noConversion"/>
  </si>
  <si>
    <t>NO/SO2 Zero</t>
    <phoneticPr fontId="1" type="noConversion"/>
  </si>
  <si>
    <t>NO/SO2 500/500ppm</t>
    <phoneticPr fontId="1" type="noConversion"/>
  </si>
  <si>
    <t>N2</t>
    <phoneticPr fontId="1" type="noConversion"/>
  </si>
  <si>
    <t>N2</t>
    <phoneticPr fontId="1" type="noConversion"/>
  </si>
  <si>
    <t>NO/SO2 600/600ppm</t>
    <phoneticPr fontId="1" type="noConversion"/>
  </si>
  <si>
    <t>NO/SO2 300/300ppm</t>
    <phoneticPr fontId="1" type="noConversion"/>
  </si>
  <si>
    <t>NO Zero</t>
    <phoneticPr fontId="1" type="noConversion"/>
  </si>
  <si>
    <t>O2 Span</t>
    <phoneticPr fontId="1" type="noConversion"/>
  </si>
  <si>
    <t>사업장명</t>
    <phoneticPr fontId="1" type="noConversion"/>
  </si>
  <si>
    <t>전송</t>
    <phoneticPr fontId="1" type="noConversion"/>
  </si>
  <si>
    <t>전송</t>
    <phoneticPr fontId="1" type="noConversion"/>
  </si>
  <si>
    <t>NO Zero</t>
    <phoneticPr fontId="1" type="noConversion"/>
  </si>
  <si>
    <t>N2</t>
    <phoneticPr fontId="1" type="noConversion"/>
  </si>
  <si>
    <t>N2</t>
    <phoneticPr fontId="1" type="noConversion"/>
  </si>
  <si>
    <t>발주처</t>
    <phoneticPr fontId="1" type="noConversion"/>
  </si>
  <si>
    <t>전송</t>
    <phoneticPr fontId="1" type="noConversion"/>
  </si>
  <si>
    <t>NO 500ppm</t>
    <phoneticPr fontId="1" type="noConversion"/>
  </si>
  <si>
    <t>전송</t>
    <phoneticPr fontId="1" type="noConversion"/>
  </si>
  <si>
    <t>전송</t>
    <phoneticPr fontId="1" type="noConversion"/>
  </si>
  <si>
    <t>전송</t>
    <phoneticPr fontId="1" type="noConversion"/>
  </si>
  <si>
    <t>입고일</t>
    <phoneticPr fontId="1" type="noConversion"/>
  </si>
  <si>
    <t>월1회</t>
    <phoneticPr fontId="1" type="noConversion"/>
  </si>
  <si>
    <t>월1회</t>
    <phoneticPr fontId="1" type="noConversion"/>
  </si>
  <si>
    <t>월4회</t>
    <phoneticPr fontId="1" type="noConversion"/>
  </si>
  <si>
    <t>월1회</t>
    <phoneticPr fontId="1" type="noConversion"/>
  </si>
  <si>
    <t>월2회</t>
    <phoneticPr fontId="1" type="noConversion"/>
  </si>
  <si>
    <t>2주1회</t>
    <phoneticPr fontId="1" type="noConversion"/>
  </si>
  <si>
    <t>월2회</t>
    <phoneticPr fontId="1" type="noConversion"/>
  </si>
  <si>
    <t>월2회</t>
    <phoneticPr fontId="1" type="noConversion"/>
  </si>
  <si>
    <t>월1회</t>
    <phoneticPr fontId="1" type="noConversion"/>
  </si>
  <si>
    <t>월1회</t>
    <phoneticPr fontId="1" type="noConversion"/>
  </si>
  <si>
    <t>월2회</t>
    <phoneticPr fontId="1" type="noConversion"/>
  </si>
  <si>
    <t>NO 200ppm</t>
    <phoneticPr fontId="1" type="noConversion"/>
  </si>
  <si>
    <t>월2회 이상</t>
    <phoneticPr fontId="1" type="noConversion"/>
  </si>
  <si>
    <t>재고1</t>
    <phoneticPr fontId="1" type="noConversion"/>
  </si>
  <si>
    <t>점검일</t>
    <phoneticPr fontId="1" type="noConversion"/>
  </si>
  <si>
    <t>NO/SO2 200/200ppm</t>
    <phoneticPr fontId="1" type="noConversion"/>
  </si>
  <si>
    <t>41
(30톤)</t>
    <phoneticPr fontId="1" type="noConversion"/>
  </si>
  <si>
    <t>월1-5회</t>
  </si>
  <si>
    <t>N2</t>
    <phoneticPr fontId="1" type="noConversion"/>
  </si>
  <si>
    <t>D/L</t>
    <phoneticPr fontId="1" type="noConversion"/>
  </si>
  <si>
    <t>DUST</t>
    <phoneticPr fontId="1" type="noConversion"/>
  </si>
  <si>
    <t>FLOW</t>
    <phoneticPr fontId="1" type="noConversion"/>
  </si>
  <si>
    <t>진행상황</t>
    <phoneticPr fontId="1" type="noConversion"/>
  </si>
  <si>
    <t>비고</t>
    <phoneticPr fontId="1" type="noConversion"/>
  </si>
  <si>
    <t>동우</t>
  </si>
  <si>
    <t>테크</t>
  </si>
  <si>
    <t>월2회</t>
    <phoneticPr fontId="1" type="noConversion"/>
  </si>
  <si>
    <t>D/L 업그레이드 버전 확인 안됨</t>
    <phoneticPr fontId="1" type="noConversion"/>
  </si>
  <si>
    <t>SICK</t>
  </si>
  <si>
    <t>테크코리아</t>
  </si>
  <si>
    <t>-</t>
  </si>
  <si>
    <t>두일</t>
  </si>
  <si>
    <t>다산</t>
  </si>
  <si>
    <t>자료없음</t>
    <phoneticPr fontId="1" type="noConversion"/>
  </si>
  <si>
    <t>비전송</t>
    <phoneticPr fontId="1" type="noConversion"/>
  </si>
  <si>
    <t>완료</t>
  </si>
  <si>
    <t>자료없음</t>
    <phoneticPr fontId="1" type="noConversion"/>
  </si>
  <si>
    <t>먼지,유량-서원시스템</t>
    <phoneticPr fontId="1" type="noConversion"/>
  </si>
  <si>
    <t>자료없음</t>
    <phoneticPr fontId="1" type="noConversion"/>
  </si>
  <si>
    <t>B bolier</t>
    <phoneticPr fontId="1" type="noConversion"/>
  </si>
  <si>
    <t>C bolier</t>
    <phoneticPr fontId="1" type="noConversion"/>
  </si>
  <si>
    <t>D bolier</t>
    <phoneticPr fontId="1" type="noConversion"/>
  </si>
  <si>
    <t>E bolier</t>
    <phoneticPr fontId="1" type="noConversion"/>
  </si>
  <si>
    <t>F bolier</t>
    <phoneticPr fontId="1" type="noConversion"/>
  </si>
  <si>
    <t>전송</t>
    <phoneticPr fontId="1" type="noConversion"/>
  </si>
  <si>
    <t>전송</t>
    <phoneticPr fontId="1" type="noConversion"/>
  </si>
  <si>
    <t>NO/O2 Zero</t>
    <phoneticPr fontId="1" type="noConversion"/>
  </si>
  <si>
    <t>Dust</t>
    <phoneticPr fontId="1" type="noConversion"/>
  </si>
  <si>
    <t>O2 25%</t>
    <phoneticPr fontId="1" type="noConversion"/>
  </si>
  <si>
    <t>계약없이
매달 발주로 진행</t>
    <phoneticPr fontId="1" type="noConversion"/>
  </si>
  <si>
    <t>``</t>
    <phoneticPr fontId="1" type="noConversion"/>
  </si>
  <si>
    <t xml:space="preserve">최초 </t>
    <phoneticPr fontId="1" type="noConversion"/>
  </si>
  <si>
    <t>미전송</t>
    <phoneticPr fontId="1" type="noConversion"/>
  </si>
  <si>
    <t>NO 600ppm</t>
    <phoneticPr fontId="1" type="noConversion"/>
  </si>
  <si>
    <t>HCL 50ppm</t>
    <phoneticPr fontId="1" type="noConversion"/>
  </si>
  <si>
    <t>48
(100톤)</t>
    <phoneticPr fontId="1" type="noConversion"/>
  </si>
  <si>
    <t>NO 200ppm</t>
    <phoneticPr fontId="1" type="noConversion"/>
  </si>
  <si>
    <t>NO 200ppm</t>
    <phoneticPr fontId="1" type="noConversion"/>
  </si>
  <si>
    <t>전송</t>
    <phoneticPr fontId="1" type="noConversion"/>
  </si>
  <si>
    <t xml:space="preserve">NOx </t>
    <phoneticPr fontId="1" type="noConversion"/>
  </si>
  <si>
    <t>N2</t>
    <phoneticPr fontId="1" type="noConversion"/>
  </si>
  <si>
    <t>170</t>
    <phoneticPr fontId="1" type="noConversion"/>
  </si>
  <si>
    <t>165.5/80.8/417</t>
    <phoneticPr fontId="1" type="noConversion"/>
  </si>
  <si>
    <t>39.5</t>
    <phoneticPr fontId="1" type="noConversion"/>
  </si>
  <si>
    <t>430/427</t>
    <phoneticPr fontId="1" type="noConversion"/>
  </si>
  <si>
    <t>431/428</t>
    <phoneticPr fontId="1" type="noConversion"/>
  </si>
  <si>
    <t>43</t>
    <phoneticPr fontId="1" type="noConversion"/>
  </si>
  <si>
    <t>176</t>
    <phoneticPr fontId="1" type="noConversion"/>
  </si>
  <si>
    <t>171</t>
    <phoneticPr fontId="1" type="noConversion"/>
  </si>
  <si>
    <t>N2</t>
    <phoneticPr fontId="1" type="noConversion"/>
  </si>
  <si>
    <t>N2</t>
    <phoneticPr fontId="1" type="noConversion"/>
  </si>
  <si>
    <t>43.6</t>
    <phoneticPr fontId="1" type="noConversion"/>
  </si>
  <si>
    <t>171.2/84.4/213.6</t>
    <phoneticPr fontId="1" type="noConversion"/>
  </si>
  <si>
    <t>N2</t>
    <phoneticPr fontId="1" type="noConversion"/>
  </si>
  <si>
    <t>420</t>
    <phoneticPr fontId="1" type="noConversion"/>
  </si>
  <si>
    <t>424/428</t>
    <phoneticPr fontId="1" type="noConversion"/>
  </si>
  <si>
    <t>N2</t>
    <phoneticPr fontId="1" type="noConversion"/>
  </si>
  <si>
    <t>424</t>
    <phoneticPr fontId="1" type="noConversion"/>
  </si>
  <si>
    <t>430/428</t>
    <phoneticPr fontId="1" type="noConversion"/>
  </si>
  <si>
    <t>429</t>
    <phoneticPr fontId="1" type="noConversion"/>
  </si>
  <si>
    <t>N2</t>
    <phoneticPr fontId="1" type="noConversion"/>
  </si>
  <si>
    <t>N2</t>
    <phoneticPr fontId="1" type="noConversion"/>
  </si>
  <si>
    <t>39</t>
    <phoneticPr fontId="1" type="noConversion"/>
  </si>
  <si>
    <t>181.5/181.7</t>
    <phoneticPr fontId="1" type="noConversion"/>
  </si>
  <si>
    <t>173</t>
    <phoneticPr fontId="1" type="noConversion"/>
  </si>
  <si>
    <t>174.1</t>
    <phoneticPr fontId="1" type="noConversion"/>
  </si>
  <si>
    <t>85</t>
    <phoneticPr fontId="1" type="noConversion"/>
  </si>
  <si>
    <t>515</t>
    <phoneticPr fontId="1" type="noConversion"/>
  </si>
  <si>
    <t>516</t>
    <phoneticPr fontId="1" type="noConversion"/>
  </si>
  <si>
    <t>430/430</t>
    <phoneticPr fontId="1" type="noConversion"/>
  </si>
  <si>
    <t>506</t>
    <phoneticPr fontId="1" type="noConversion"/>
  </si>
  <si>
    <t>514</t>
    <phoneticPr fontId="1" type="noConversion"/>
  </si>
  <si>
    <t>516</t>
    <phoneticPr fontId="1" type="noConversion"/>
  </si>
  <si>
    <t>357/403</t>
    <phoneticPr fontId="1" type="noConversion"/>
  </si>
  <si>
    <t>427/426</t>
    <phoneticPr fontId="1" type="noConversion"/>
  </si>
  <si>
    <t>89.9</t>
    <phoneticPr fontId="1" type="noConversion"/>
  </si>
  <si>
    <t>85.2</t>
    <phoneticPr fontId="1" type="noConversion"/>
  </si>
  <si>
    <t>85.1</t>
    <phoneticPr fontId="1" type="noConversion"/>
  </si>
  <si>
    <t>85.6</t>
    <phoneticPr fontId="1" type="noConversion"/>
  </si>
  <si>
    <t>85.7</t>
    <phoneticPr fontId="1" type="noConversion"/>
  </si>
  <si>
    <t>86.4</t>
    <phoneticPr fontId="1" type="noConversion"/>
  </si>
  <si>
    <t>86.8</t>
    <phoneticPr fontId="1" type="noConversion"/>
  </si>
  <si>
    <t>425</t>
    <phoneticPr fontId="1" type="noConversion"/>
  </si>
  <si>
    <t>170.9</t>
    <phoneticPr fontId="1" type="noConversion"/>
  </si>
  <si>
    <t>510</t>
    <phoneticPr fontId="1" type="noConversion"/>
  </si>
  <si>
    <t>170.5/171.6</t>
    <phoneticPr fontId="1" type="noConversion"/>
  </si>
  <si>
    <t>171.6/524</t>
    <phoneticPr fontId="1" type="noConversion"/>
  </si>
  <si>
    <t>175.8</t>
    <phoneticPr fontId="1" type="noConversion"/>
  </si>
  <si>
    <t>175.8</t>
    <phoneticPr fontId="1" type="noConversion"/>
  </si>
  <si>
    <t>170</t>
    <phoneticPr fontId="1" type="noConversion"/>
  </si>
  <si>
    <t>510</t>
    <phoneticPr fontId="1" type="noConversion"/>
  </si>
  <si>
    <t>425/421</t>
    <phoneticPr fontId="1" type="noConversion"/>
  </si>
  <si>
    <t>430</t>
    <phoneticPr fontId="1" type="noConversion"/>
  </si>
  <si>
    <t>430</t>
    <phoneticPr fontId="1" type="noConversion"/>
  </si>
  <si>
    <t>255/255</t>
    <phoneticPr fontId="1" type="noConversion"/>
  </si>
  <si>
    <t>427</t>
    <phoneticPr fontId="1" type="noConversion"/>
  </si>
  <si>
    <t>171.2/170.7/518</t>
    <phoneticPr fontId="1" type="noConversion"/>
  </si>
  <si>
    <t>168.3/168.2/429</t>
    <phoneticPr fontId="1" type="noConversion"/>
  </si>
  <si>
    <t>87.4</t>
    <phoneticPr fontId="1" type="noConversion"/>
  </si>
  <si>
    <t>430/425</t>
    <phoneticPr fontId="1" type="noConversion"/>
  </si>
  <si>
    <t>428/424</t>
    <phoneticPr fontId="1" type="noConversion"/>
  </si>
  <si>
    <t>차압센서</t>
    <phoneticPr fontId="2" type="noConversion"/>
  </si>
  <si>
    <t>171.5</t>
    <phoneticPr fontId="1" type="noConversion"/>
  </si>
  <si>
    <t>171.7</t>
    <phoneticPr fontId="1" type="noConversion"/>
  </si>
  <si>
    <t>171.6</t>
    <phoneticPr fontId="1" type="noConversion"/>
  </si>
  <si>
    <t>NO Zero</t>
    <phoneticPr fontId="1" type="noConversion"/>
  </si>
  <si>
    <t>NO 200ppm</t>
    <phoneticPr fontId="1" type="noConversion"/>
  </si>
  <si>
    <t>173.3</t>
    <phoneticPr fontId="1" type="noConversion"/>
  </si>
  <si>
    <t>176.3</t>
    <phoneticPr fontId="1" type="noConversion"/>
  </si>
  <si>
    <t>429/428</t>
    <phoneticPr fontId="1" type="noConversion"/>
  </si>
  <si>
    <t>NO Zero</t>
    <phoneticPr fontId="1" type="noConversion"/>
  </si>
  <si>
    <t>432/430</t>
    <phoneticPr fontId="1" type="noConversion"/>
  </si>
  <si>
    <t>428/422</t>
    <phoneticPr fontId="1" type="noConversion"/>
  </si>
  <si>
    <t>432/472</t>
    <phoneticPr fontId="1" type="noConversion"/>
  </si>
  <si>
    <t>353/402</t>
    <phoneticPr fontId="1" type="noConversion"/>
  </si>
  <si>
    <t>352/401</t>
    <phoneticPr fontId="1" type="noConversion"/>
  </si>
  <si>
    <t>171.9/427</t>
    <phoneticPr fontId="1" type="noConversion"/>
  </si>
  <si>
    <t>170.4</t>
    <phoneticPr fontId="1" type="noConversion"/>
  </si>
  <si>
    <t>2-3호기 가스 같은거 사용</t>
    <phoneticPr fontId="1" type="noConversion"/>
  </si>
  <si>
    <t>168.5/167.2/428</t>
    <phoneticPr fontId="1" type="noConversion"/>
  </si>
  <si>
    <t>42.5</t>
    <phoneticPr fontId="1" type="noConversion"/>
  </si>
  <si>
    <t>NO/SO2 200/100ppm</t>
    <phoneticPr fontId="1" type="noConversion"/>
  </si>
  <si>
    <t>N2</t>
    <phoneticPr fontId="1" type="noConversion"/>
  </si>
  <si>
    <t>최종</t>
    <phoneticPr fontId="1" type="noConversion"/>
  </si>
  <si>
    <t>유속계 정도검사</t>
    <phoneticPr fontId="1" type="noConversion"/>
  </si>
  <si>
    <t>최초</t>
    <phoneticPr fontId="1" type="noConversion"/>
  </si>
  <si>
    <t>최종</t>
    <phoneticPr fontId="1" type="noConversion"/>
  </si>
  <si>
    <t>예정</t>
    <phoneticPr fontId="1" type="noConversion"/>
  </si>
  <si>
    <t>가스상 정도검사</t>
    <phoneticPr fontId="1" type="noConversion"/>
  </si>
  <si>
    <t>1차</t>
    <phoneticPr fontId="1" type="noConversion"/>
  </si>
  <si>
    <t>2차</t>
    <phoneticPr fontId="1" type="noConversion"/>
  </si>
  <si>
    <t>잔량</t>
    <phoneticPr fontId="1" type="noConversion"/>
  </si>
  <si>
    <t>유효기간</t>
    <phoneticPr fontId="1" type="noConversion"/>
  </si>
  <si>
    <t>2차</t>
    <phoneticPr fontId="1" type="noConversion"/>
  </si>
  <si>
    <t>2차</t>
    <phoneticPr fontId="1" type="noConversion"/>
  </si>
  <si>
    <t>3차</t>
    <phoneticPr fontId="1" type="noConversion"/>
  </si>
  <si>
    <t>Dust</t>
    <phoneticPr fontId="1" type="noConversion"/>
  </si>
  <si>
    <t>5차</t>
    <phoneticPr fontId="1" type="noConversion"/>
  </si>
  <si>
    <t>2차</t>
    <phoneticPr fontId="1" type="noConversion"/>
  </si>
  <si>
    <t>1차</t>
    <phoneticPr fontId="1" type="noConversion"/>
  </si>
  <si>
    <t>1차</t>
    <phoneticPr fontId="1" type="noConversion"/>
  </si>
  <si>
    <t>NO 500ppm</t>
    <phoneticPr fontId="1" type="noConversion"/>
  </si>
  <si>
    <t>NO 600ppm</t>
    <phoneticPr fontId="1" type="noConversion"/>
  </si>
  <si>
    <t>510</t>
    <phoneticPr fontId="1" type="noConversion"/>
  </si>
  <si>
    <t>N2</t>
    <phoneticPr fontId="1" type="noConversion"/>
  </si>
  <si>
    <t>N2</t>
    <phoneticPr fontId="1" type="noConversion"/>
  </si>
  <si>
    <t>N2</t>
    <phoneticPr fontId="1" type="noConversion"/>
  </si>
  <si>
    <t>N2</t>
    <phoneticPr fontId="1" type="noConversion"/>
  </si>
  <si>
    <t>NO 600ppm</t>
    <phoneticPr fontId="1" type="noConversion"/>
  </si>
  <si>
    <t>NO 200ppm</t>
    <phoneticPr fontId="1" type="noConversion"/>
  </si>
  <si>
    <t>NO/SO2 500/500ppm</t>
    <phoneticPr fontId="1" type="noConversion"/>
  </si>
  <si>
    <t>NO/SO2/CO 200/100/500ppm</t>
    <phoneticPr fontId="1" type="noConversion"/>
  </si>
  <si>
    <t>NO/SO2 200/200ppm</t>
    <phoneticPr fontId="1" type="noConversion"/>
  </si>
  <si>
    <t>NO/SO2 500/500ppm</t>
    <phoneticPr fontId="1" type="noConversion"/>
  </si>
  <si>
    <t>429/423</t>
    <phoneticPr fontId="1" type="noConversion"/>
  </si>
  <si>
    <t>429/427</t>
    <phoneticPr fontId="1" type="noConversion"/>
  </si>
  <si>
    <t>NO/SO2 500/500ppm</t>
    <phoneticPr fontId="1" type="noConversion"/>
  </si>
  <si>
    <t>NO/SO2 500/500ppm</t>
    <phoneticPr fontId="1" type="noConversion"/>
  </si>
  <si>
    <t>428/425</t>
    <phoneticPr fontId="1" type="noConversion"/>
  </si>
  <si>
    <t>433/428</t>
    <phoneticPr fontId="1" type="noConversion"/>
  </si>
  <si>
    <t>NO/SO2 500/500ppm</t>
    <phoneticPr fontId="1" type="noConversion"/>
  </si>
  <si>
    <t>NO/SO2 400/500ppm</t>
    <phoneticPr fontId="1" type="noConversion"/>
  </si>
  <si>
    <t>NO/SO2 400/500ppm</t>
    <phoneticPr fontId="1" type="noConversion"/>
  </si>
  <si>
    <t>NO 100ppm</t>
    <phoneticPr fontId="1" type="noConversion"/>
  </si>
  <si>
    <t>NO/SO2/CO 200/200/500ppm</t>
    <phoneticPr fontId="1" type="noConversion"/>
  </si>
  <si>
    <t>NO/SO2 200/600ppm</t>
    <phoneticPr fontId="1" type="noConversion"/>
  </si>
  <si>
    <t>비고사항</t>
    <phoneticPr fontId="1" type="noConversion"/>
  </si>
  <si>
    <t>1차</t>
    <phoneticPr fontId="1" type="noConversion"/>
  </si>
  <si>
    <t>2차</t>
    <phoneticPr fontId="1" type="noConversion"/>
  </si>
  <si>
    <t>4차</t>
    <phoneticPr fontId="1" type="noConversion"/>
  </si>
  <si>
    <t>1차</t>
    <phoneticPr fontId="1" type="noConversion"/>
  </si>
  <si>
    <t>2차</t>
    <phoneticPr fontId="1" type="noConversion"/>
  </si>
  <si>
    <t>1차</t>
    <phoneticPr fontId="1" type="noConversion"/>
  </si>
  <si>
    <t>2차</t>
    <phoneticPr fontId="1" type="noConversion"/>
  </si>
  <si>
    <t>2차</t>
    <phoneticPr fontId="1" type="noConversion"/>
  </si>
  <si>
    <t>1차</t>
    <phoneticPr fontId="1" type="noConversion"/>
  </si>
  <si>
    <t>사업장진행</t>
    <phoneticPr fontId="1" type="noConversion"/>
  </si>
  <si>
    <t>사업장진행</t>
    <phoneticPr fontId="1" type="noConversion"/>
  </si>
  <si>
    <t>2차</t>
    <phoneticPr fontId="1" type="noConversion"/>
  </si>
  <si>
    <t>514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</si>
  <si>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</si>
  <si>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</si>
  <si>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</si>
  <si>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</si>
  <si>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</si>
  <si>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</si>
  <si>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</si>
  <si>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</si>
  <si>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</si>
  <si>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</si>
  <si>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M/D</t>
    <phoneticPr fontId="1" type="noConversion"/>
  </si>
  <si>
    <t>디엑스지</t>
  </si>
  <si>
    <t>1-1 두일테크
3-2, 28, 19-1 디엑스지</t>
  </si>
  <si>
    <t>디엑스지
(변동될 수 있음)</t>
  </si>
  <si>
    <t>-</t>
    <phoneticPr fontId="1" type="noConversion"/>
  </si>
  <si>
    <t>-</t>
    <phoneticPr fontId="1" type="noConversion"/>
  </si>
  <si>
    <t>월 금액</t>
    <phoneticPr fontId="1" type="noConversion"/>
  </si>
  <si>
    <t>월 1회</t>
    <phoneticPr fontId="1" type="noConversion"/>
  </si>
  <si>
    <t>1 M/D</t>
    <phoneticPr fontId="1" type="noConversion"/>
  </si>
  <si>
    <t>월 2회</t>
    <phoneticPr fontId="1" type="noConversion"/>
  </si>
  <si>
    <t>월 1회</t>
    <phoneticPr fontId="1" type="noConversion"/>
  </si>
  <si>
    <t>2 M/D</t>
    <phoneticPr fontId="1" type="noConversion"/>
  </si>
  <si>
    <t>2 M/D</t>
    <phoneticPr fontId="1" type="noConversion"/>
  </si>
  <si>
    <t>월 4회
(주 1회)</t>
    <phoneticPr fontId="1" type="noConversion"/>
  </si>
  <si>
    <t>2 M/D</t>
    <phoneticPr fontId="1" type="noConversion"/>
  </si>
  <si>
    <t>월 2회</t>
    <phoneticPr fontId="1" type="noConversion"/>
  </si>
  <si>
    <t>2 M/D</t>
    <phoneticPr fontId="1" type="noConversion"/>
  </si>
  <si>
    <t>2 M/D</t>
    <phoneticPr fontId="1" type="noConversion"/>
  </si>
  <si>
    <t>월 2회</t>
    <phoneticPr fontId="1" type="noConversion"/>
  </si>
  <si>
    <t>1 M/D</t>
    <phoneticPr fontId="1" type="noConversion"/>
  </si>
  <si>
    <t>1 M/D</t>
    <phoneticPr fontId="1" type="noConversion"/>
  </si>
  <si>
    <t>월 1회</t>
    <phoneticPr fontId="1" type="noConversion"/>
  </si>
  <si>
    <t>사업장진행
(신청서만 접수완료)
(유지보수 계약 내 정도검사 노무비 포함)</t>
    <phoneticPr fontId="1" type="noConversion"/>
  </si>
  <si>
    <t>2차</t>
    <phoneticPr fontId="1" type="noConversion"/>
  </si>
  <si>
    <t>2차</t>
    <phoneticPr fontId="1" type="noConversion"/>
  </si>
  <si>
    <t>1
(In-Situ)</t>
    <phoneticPr fontId="1" type="noConversion"/>
  </si>
  <si>
    <t>2
(In-Situ)</t>
    <phoneticPr fontId="1" type="noConversion"/>
  </si>
  <si>
    <t>월 2회</t>
    <phoneticPr fontId="1" type="noConversion"/>
  </si>
  <si>
    <t>2 M/D</t>
    <phoneticPr fontId="1" type="noConversion"/>
  </si>
  <si>
    <t>O2 Cell</t>
    <phoneticPr fontId="1" type="noConversion"/>
  </si>
  <si>
    <t>Beam Splitter</t>
    <phoneticPr fontId="1" type="noConversion"/>
  </si>
  <si>
    <t>계약 내 소모품
포함 항목</t>
    <phoneticPr fontId="1" type="noConversion"/>
  </si>
  <si>
    <t>계약 관련 History</t>
    <phoneticPr fontId="1" type="noConversion"/>
  </si>
  <si>
    <t>23/7/21 동결진행</t>
    <phoneticPr fontId="1" type="noConversion"/>
  </si>
  <si>
    <t>참조 : 영업담당자 송재석차장에게도 내용 공유 후 의견 공유 시, 긴급점검도 거의 없는 곳이라, 올해 동결해도 되지 않을까 싶다</t>
    <phoneticPr fontId="1" type="noConversion"/>
  </si>
  <si>
    <t>23/8/1 정두현 과장: 작년에 1600으로 10%인상해서 올해는 동결하고 다음번에 인상이야기 하는게 맞는 것 같다.</t>
    <phoneticPr fontId="1" type="noConversion"/>
  </si>
  <si>
    <t>23/7/19 담당자 통화 시에는 점검 누락이나 서비스등의 사유로 인상을 좀 꺼려하고 있긴 하나,
 인상이 필요하다면, 보고는 해보겠다... 라고 답변</t>
    <phoneticPr fontId="1" type="noConversion"/>
  </si>
  <si>
    <t>23/8/1 동결진행</t>
    <phoneticPr fontId="1" type="noConversion"/>
  </si>
  <si>
    <t>월 1회</t>
    <phoneticPr fontId="1" type="noConversion"/>
  </si>
  <si>
    <t>월 1회</t>
    <phoneticPr fontId="1" type="noConversion"/>
  </si>
  <si>
    <t>1 M/D</t>
    <phoneticPr fontId="1" type="noConversion"/>
  </si>
  <si>
    <t>월 1회</t>
    <phoneticPr fontId="1" type="noConversion"/>
  </si>
  <si>
    <t>월 4회
(추가20만)</t>
    <phoneticPr fontId="1" type="noConversion"/>
  </si>
  <si>
    <t>1 M/D</t>
    <phoneticPr fontId="1" type="noConversion"/>
  </si>
  <si>
    <t>2 M/D</t>
    <phoneticPr fontId="1" type="noConversion"/>
  </si>
  <si>
    <t>월 1회</t>
    <phoneticPr fontId="1" type="noConversion"/>
  </si>
  <si>
    <t>월 2회</t>
    <phoneticPr fontId="1" type="noConversion"/>
  </si>
  <si>
    <t>월 2회</t>
    <phoneticPr fontId="1" type="noConversion"/>
  </si>
  <si>
    <t>1 M/D</t>
    <phoneticPr fontId="1" type="noConversion"/>
  </si>
  <si>
    <t>1 M/D</t>
    <phoneticPr fontId="1" type="noConversion"/>
  </si>
  <si>
    <t>2 M/D</t>
    <phoneticPr fontId="1" type="noConversion"/>
  </si>
  <si>
    <t>월 1.5회</t>
    <phoneticPr fontId="1" type="noConversion"/>
  </si>
  <si>
    <t>월 2회</t>
    <phoneticPr fontId="1" type="noConversion"/>
  </si>
  <si>
    <t>431.31</t>
    <phoneticPr fontId="1" type="noConversion"/>
  </si>
  <si>
    <t>2차</t>
    <phoneticPr fontId="1" type="noConversion"/>
  </si>
  <si>
    <t>170</t>
    <phoneticPr fontId="1" type="noConversion"/>
  </si>
  <si>
    <t>NO Zero</t>
    <phoneticPr fontId="1" type="noConversion"/>
  </si>
  <si>
    <t>NO 200ppm</t>
    <phoneticPr fontId="1" type="noConversion"/>
  </si>
  <si>
    <t>지점</t>
    <phoneticPr fontId="1" type="noConversion"/>
  </si>
  <si>
    <t>호남</t>
    <phoneticPr fontId="1" type="noConversion"/>
  </si>
  <si>
    <t>본사</t>
    <phoneticPr fontId="1" type="noConversion"/>
  </si>
  <si>
    <t>영남</t>
    <phoneticPr fontId="1" type="noConversion"/>
  </si>
  <si>
    <t>본사</t>
    <phoneticPr fontId="1" type="noConversion"/>
  </si>
  <si>
    <t>디엑스지</t>
    <phoneticPr fontId="1" type="noConversion"/>
  </si>
  <si>
    <t>디엑스지</t>
    <phoneticPr fontId="1" type="noConversion"/>
  </si>
  <si>
    <t>디엑스지</t>
    <phoneticPr fontId="1" type="noConversion"/>
  </si>
  <si>
    <t>영남</t>
    <phoneticPr fontId="1" type="noConversion"/>
  </si>
  <si>
    <t>본사</t>
    <phoneticPr fontId="1" type="noConversion"/>
  </si>
  <si>
    <t>본사</t>
    <phoneticPr fontId="1" type="noConversion"/>
  </si>
  <si>
    <t>본사</t>
    <phoneticPr fontId="1" type="noConversion"/>
  </si>
  <si>
    <t>본사</t>
    <phoneticPr fontId="1" type="noConversion"/>
  </si>
  <si>
    <t>호남</t>
    <phoneticPr fontId="1" type="noConversion"/>
  </si>
  <si>
    <t>영남</t>
    <phoneticPr fontId="1" type="noConversion"/>
  </si>
  <si>
    <t>영남</t>
    <phoneticPr fontId="1" type="noConversion"/>
  </si>
  <si>
    <t>영남</t>
    <phoneticPr fontId="1" type="noConversion"/>
  </si>
  <si>
    <t>본사</t>
    <phoneticPr fontId="1" type="noConversion"/>
  </si>
  <si>
    <t>본사</t>
    <phoneticPr fontId="1" type="noConversion"/>
  </si>
  <si>
    <t>호남</t>
    <phoneticPr fontId="1" type="noConversion"/>
  </si>
  <si>
    <t>영남</t>
    <phoneticPr fontId="1" type="noConversion"/>
  </si>
  <si>
    <t>영남</t>
    <phoneticPr fontId="1" type="noConversion"/>
  </si>
  <si>
    <t>본사</t>
    <phoneticPr fontId="1" type="noConversion"/>
  </si>
  <si>
    <t>월 1회</t>
    <phoneticPr fontId="1" type="noConversion"/>
  </si>
  <si>
    <t>월 1회</t>
    <phoneticPr fontId="1" type="noConversion"/>
  </si>
  <si>
    <t>2 M/D</t>
    <phoneticPr fontId="1" type="noConversion"/>
  </si>
  <si>
    <t>1 M/D</t>
    <phoneticPr fontId="1" type="noConversion"/>
  </si>
  <si>
    <t>갱신 계약 관련 동결을 원하고 있으며,</t>
    <phoneticPr fontId="1" type="noConversion"/>
  </si>
  <si>
    <t>송재석 차장이 최종본 들고 계약</t>
    <phoneticPr fontId="1" type="noConversion"/>
  </si>
  <si>
    <t>큰 이슈 없는 사업장이라, 영업담당자는 동결에 동의</t>
    <phoneticPr fontId="1" type="noConversion"/>
  </si>
  <si>
    <t>5차</t>
    <phoneticPr fontId="1" type="noConversion"/>
  </si>
  <si>
    <t>사업장진행</t>
    <phoneticPr fontId="1" type="noConversion"/>
  </si>
  <si>
    <t>2차</t>
    <phoneticPr fontId="1" type="noConversion"/>
  </si>
  <si>
    <t>5차</t>
    <phoneticPr fontId="1" type="noConversion"/>
  </si>
  <si>
    <t>2차</t>
    <phoneticPr fontId="1" type="noConversion"/>
  </si>
  <si>
    <t>월 2회</t>
    <phoneticPr fontId="1" type="noConversion"/>
  </si>
  <si>
    <t>UV Lamp</t>
    <phoneticPr fontId="1" type="noConversion"/>
  </si>
  <si>
    <t>Purge Air Filter</t>
    <phoneticPr fontId="1" type="noConversion"/>
  </si>
  <si>
    <t>표준가스</t>
    <phoneticPr fontId="1" type="noConversion"/>
  </si>
  <si>
    <t>월 2회</t>
    <phoneticPr fontId="1" type="noConversion"/>
  </si>
  <si>
    <t>월 2회</t>
    <phoneticPr fontId="1" type="noConversion"/>
  </si>
  <si>
    <t>월 1회</t>
    <phoneticPr fontId="1" type="noConversion"/>
  </si>
  <si>
    <t>2 M/D</t>
    <phoneticPr fontId="1" type="noConversion"/>
  </si>
  <si>
    <t>O2 Cell-2ea(20년 계약)</t>
    <phoneticPr fontId="1" type="noConversion"/>
  </si>
  <si>
    <t>O2 Heater-2ea(20년 계약)</t>
    <phoneticPr fontId="1" type="noConversion"/>
  </si>
  <si>
    <t>PF-45-4ea(20년 계약)</t>
    <phoneticPr fontId="1" type="noConversion"/>
  </si>
  <si>
    <t>월 1회</t>
    <phoneticPr fontId="1" type="noConversion"/>
  </si>
  <si>
    <t>월 2회</t>
    <phoneticPr fontId="1" type="noConversion"/>
  </si>
  <si>
    <t>월 1회</t>
    <phoneticPr fontId="1" type="noConversion"/>
  </si>
  <si>
    <t>주 1회</t>
    <phoneticPr fontId="1" type="noConversion"/>
  </si>
  <si>
    <t>월 1회
(긴급 50만)</t>
    <phoneticPr fontId="1" type="noConversion"/>
  </si>
  <si>
    <t>NO/O2 Zero</t>
    <phoneticPr fontId="1" type="noConversion"/>
  </si>
  <si>
    <t>NO/O2 Zero</t>
    <phoneticPr fontId="1" type="noConversion"/>
  </si>
  <si>
    <t>NO/O2 Zero</t>
    <phoneticPr fontId="1" type="noConversion"/>
  </si>
  <si>
    <t>NO/O2 Zero</t>
    <phoneticPr fontId="1" type="noConversion"/>
  </si>
  <si>
    <t>NO/O2 Zero</t>
    <phoneticPr fontId="1" type="noConversion"/>
  </si>
  <si>
    <t>NO/O2 Zero</t>
    <phoneticPr fontId="1" type="noConversion"/>
  </si>
  <si>
    <t>S/O 발행</t>
    <phoneticPr fontId="1" type="noConversion"/>
  </si>
  <si>
    <t>정도검사
가스</t>
    <phoneticPr fontId="1" type="noConversion"/>
  </si>
  <si>
    <t>S/O 발행</t>
    <phoneticPr fontId="1" type="noConversion"/>
  </si>
  <si>
    <t>사업장진행</t>
    <phoneticPr fontId="1" type="noConversion"/>
  </si>
  <si>
    <t>사업장진행</t>
    <phoneticPr fontId="1" type="noConversion"/>
  </si>
  <si>
    <t>A bolier</t>
    <phoneticPr fontId="1" type="noConversion"/>
  </si>
  <si>
    <t>9
(샘플링)</t>
    <phoneticPr fontId="1" type="noConversion"/>
  </si>
  <si>
    <t xml:space="preserve">교정가스 </t>
    <phoneticPr fontId="1" type="noConversion"/>
  </si>
  <si>
    <t>농도
(ppm,%)</t>
    <phoneticPr fontId="1" type="noConversion"/>
  </si>
  <si>
    <t>용량(L)</t>
    <phoneticPr fontId="1" type="noConversion"/>
  </si>
  <si>
    <t xml:space="preserve">사업장 보유 가스 </t>
    <phoneticPr fontId="1" type="noConversion"/>
  </si>
  <si>
    <t>O2 25%</t>
    <phoneticPr fontId="1" type="noConversion"/>
  </si>
  <si>
    <t>사업장 신청</t>
    <phoneticPr fontId="1" type="noConversion"/>
  </si>
  <si>
    <t>사업장 신청</t>
    <phoneticPr fontId="1" type="noConversion"/>
  </si>
  <si>
    <t>사업장진행</t>
    <phoneticPr fontId="1" type="noConversion"/>
  </si>
  <si>
    <t>2차</t>
    <phoneticPr fontId="1" type="noConversion"/>
  </si>
  <si>
    <t>월 2회</t>
    <phoneticPr fontId="1" type="noConversion"/>
  </si>
  <si>
    <t>N2</t>
    <phoneticPr fontId="1" type="noConversion"/>
  </si>
  <si>
    <t>1차</t>
    <phoneticPr fontId="1" type="noConversion"/>
  </si>
  <si>
    <t>기기 계약 체결 시 유지보수 계약을 싸게 제출했다고 함, 80만정도는 받아야 하지 않나 (송재석 CJ)</t>
    <phoneticPr fontId="1" type="noConversion"/>
  </si>
  <si>
    <t>Dust</t>
    <phoneticPr fontId="1" type="noConversion"/>
  </si>
  <si>
    <t>3차</t>
    <phoneticPr fontId="1" type="noConversion"/>
  </si>
  <si>
    <t>2차</t>
    <phoneticPr fontId="1" type="noConversion"/>
  </si>
  <si>
    <t>월 0.5회</t>
    <phoneticPr fontId="1" type="noConversion"/>
  </si>
  <si>
    <t>NO Zero</t>
    <phoneticPr fontId="1" type="noConversion"/>
  </si>
  <si>
    <t>법정검사 지원포함</t>
    <phoneticPr fontId="1" type="noConversion"/>
  </si>
  <si>
    <t>도착예정</t>
    <phoneticPr fontId="1" type="noConversion"/>
  </si>
  <si>
    <t>2차</t>
    <phoneticPr fontId="1" type="noConversion"/>
  </si>
  <si>
    <t>#A28</t>
    <phoneticPr fontId="1" type="noConversion"/>
  </si>
  <si>
    <t>NO 600ppm</t>
    <phoneticPr fontId="1" type="noConversion"/>
  </si>
  <si>
    <t>O2 25%</t>
    <phoneticPr fontId="1" type="noConversion"/>
  </si>
  <si>
    <t>O2 25%</t>
    <phoneticPr fontId="1" type="noConversion"/>
  </si>
  <si>
    <t>NO/O2 Zero</t>
    <phoneticPr fontId="1" type="noConversion"/>
  </si>
  <si>
    <t>N2</t>
    <phoneticPr fontId="1" type="noConversion"/>
  </si>
  <si>
    <t>본사</t>
    <phoneticPr fontId="1" type="noConversion"/>
  </si>
  <si>
    <t>월 2회</t>
    <phoneticPr fontId="1" type="noConversion"/>
  </si>
  <si>
    <t>1차</t>
    <phoneticPr fontId="1" type="noConversion"/>
  </si>
  <si>
    <t>전송</t>
    <phoneticPr fontId="1" type="noConversion"/>
  </si>
  <si>
    <t>전송</t>
    <phoneticPr fontId="1" type="noConversion"/>
  </si>
  <si>
    <t>비전송</t>
    <phoneticPr fontId="1" type="noConversion"/>
  </si>
  <si>
    <t>비전송</t>
    <phoneticPr fontId="1" type="noConversion"/>
  </si>
  <si>
    <t>사업장진행</t>
    <phoneticPr fontId="1" type="noConversion"/>
  </si>
  <si>
    <t>사업장진행</t>
    <phoneticPr fontId="1" type="noConversion"/>
  </si>
  <si>
    <t>사업장 신청</t>
    <phoneticPr fontId="1" type="noConversion"/>
  </si>
  <si>
    <t>사업장 신청</t>
    <phoneticPr fontId="1" type="noConversion"/>
  </si>
  <si>
    <t>O2 Zero</t>
    <phoneticPr fontId="1" type="noConversion"/>
  </si>
  <si>
    <t>O2 Zero</t>
    <phoneticPr fontId="1" type="noConversion"/>
  </si>
  <si>
    <t>사업장 자체진행</t>
    <phoneticPr fontId="1" type="noConversion"/>
  </si>
  <si>
    <t>2차</t>
    <phoneticPr fontId="1" type="noConversion"/>
  </si>
  <si>
    <t>기기 정도검사 확인 필요</t>
    <phoneticPr fontId="1" type="noConversion"/>
  </si>
  <si>
    <t>디엑스지</t>
    <phoneticPr fontId="1" type="noConversion"/>
  </si>
  <si>
    <t>디엑스지</t>
    <phoneticPr fontId="1" type="noConversion"/>
  </si>
  <si>
    <t>디엑스지</t>
    <phoneticPr fontId="1" type="noConversion"/>
  </si>
  <si>
    <t>1차</t>
    <phoneticPr fontId="1" type="noConversion"/>
  </si>
  <si>
    <t>7차</t>
    <phoneticPr fontId="1" type="noConversion"/>
  </si>
  <si>
    <t>2차</t>
    <phoneticPr fontId="1" type="noConversion"/>
  </si>
  <si>
    <t>2차</t>
    <phoneticPr fontId="1" type="noConversion"/>
  </si>
  <si>
    <t>#A3</t>
    <phoneticPr fontId="1" type="noConversion"/>
  </si>
  <si>
    <t>유지보수
계약 내 포함</t>
    <phoneticPr fontId="1" type="noConversion"/>
  </si>
  <si>
    <t>유지보수
계약 내 포함</t>
    <phoneticPr fontId="1" type="noConversion"/>
  </si>
  <si>
    <t>2차</t>
    <phoneticPr fontId="1" type="noConversion"/>
  </si>
  <si>
    <t>1차</t>
    <phoneticPr fontId="1" type="noConversion"/>
  </si>
  <si>
    <t>사업장신청</t>
    <phoneticPr fontId="1" type="noConversion"/>
  </si>
  <si>
    <t>월 4회
(주 1회)</t>
    <phoneticPr fontId="1" type="noConversion"/>
  </si>
  <si>
    <t>엔투비</t>
    <phoneticPr fontId="2" type="noConversion"/>
  </si>
  <si>
    <t>425</t>
    <phoneticPr fontId="1" type="noConversion"/>
  </si>
  <si>
    <t>NO 500ppm</t>
    <phoneticPr fontId="1" type="noConversion"/>
  </si>
  <si>
    <t>1차</t>
    <phoneticPr fontId="1" type="noConversion"/>
  </si>
  <si>
    <t>NO/SO2/CO 200/100/250ppm</t>
    <phoneticPr fontId="1" type="noConversion"/>
  </si>
  <si>
    <t>전송</t>
    <phoneticPr fontId="1" type="noConversion"/>
  </si>
  <si>
    <t>N2</t>
    <phoneticPr fontId="1" type="noConversion"/>
  </si>
  <si>
    <t>NO 600ppm</t>
    <phoneticPr fontId="1" type="noConversion"/>
  </si>
  <si>
    <t>NO 600ppm</t>
    <phoneticPr fontId="1" type="noConversion"/>
  </si>
  <si>
    <t>A7</t>
    <phoneticPr fontId="1" type="noConversion"/>
  </si>
  <si>
    <t>월 1회</t>
    <phoneticPr fontId="1" type="noConversion"/>
  </si>
  <si>
    <t>NO 40ppm</t>
    <phoneticPr fontId="1" type="noConversion"/>
  </si>
  <si>
    <t>34</t>
    <phoneticPr fontId="1" type="noConversion"/>
  </si>
  <si>
    <t>425</t>
    <phoneticPr fontId="1" type="noConversion"/>
  </si>
  <si>
    <t>NO 600ppm</t>
    <phoneticPr fontId="1" type="noConversion"/>
  </si>
  <si>
    <t>NO 500ppm</t>
    <phoneticPr fontId="1" type="noConversion"/>
  </si>
  <si>
    <t>N2</t>
    <phoneticPr fontId="1" type="noConversion"/>
  </si>
  <si>
    <t>본사</t>
    <phoneticPr fontId="1" type="noConversion"/>
  </si>
  <si>
    <t>1차</t>
    <phoneticPr fontId="1" type="noConversion"/>
  </si>
  <si>
    <t>2차</t>
    <phoneticPr fontId="1" type="noConversion"/>
  </si>
  <si>
    <t>O2 Heater</t>
    <phoneticPr fontId="1" type="noConversion"/>
  </si>
  <si>
    <t>NO/SO2 200/200ppm (SO2 비전송)</t>
    <phoneticPr fontId="1" type="noConversion"/>
  </si>
  <si>
    <t>2차</t>
    <phoneticPr fontId="1" type="noConversion"/>
  </si>
  <si>
    <t>NO/O2 Zero</t>
    <phoneticPr fontId="1" type="noConversion"/>
  </si>
  <si>
    <t>N2</t>
    <phoneticPr fontId="1" type="noConversion"/>
  </si>
  <si>
    <t>본사</t>
    <phoneticPr fontId="1" type="noConversion"/>
  </si>
  <si>
    <t>본사</t>
    <phoneticPr fontId="1" type="noConversion"/>
  </si>
  <si>
    <t>2M/D</t>
    <phoneticPr fontId="1" type="noConversion"/>
  </si>
  <si>
    <t>영남</t>
  </si>
  <si>
    <t>2M/D</t>
    <phoneticPr fontId="1" type="noConversion"/>
  </si>
  <si>
    <t>영남</t>
    <phoneticPr fontId="1" type="noConversion"/>
  </si>
  <si>
    <t>요청 시</t>
    <phoneticPr fontId="1" type="noConversion"/>
  </si>
  <si>
    <t>34</t>
    <phoneticPr fontId="1" type="noConversion"/>
  </si>
  <si>
    <t>NO</t>
    <phoneticPr fontId="1" type="noConversion"/>
  </si>
  <si>
    <t>NO Zero</t>
    <phoneticPr fontId="1" type="noConversion"/>
  </si>
  <si>
    <t>월 2회</t>
    <phoneticPr fontId="1" type="noConversion"/>
  </si>
  <si>
    <t>NO/O2 Zero</t>
    <phoneticPr fontId="1" type="noConversion"/>
  </si>
  <si>
    <t>O2 25%</t>
    <phoneticPr fontId="1" type="noConversion"/>
  </si>
  <si>
    <t>N2</t>
    <phoneticPr fontId="1" type="noConversion"/>
  </si>
  <si>
    <t>본사</t>
    <phoneticPr fontId="1" type="noConversion"/>
  </si>
  <si>
    <t>2M/D</t>
    <phoneticPr fontId="1" type="noConversion"/>
  </si>
  <si>
    <t>57
(80톤)</t>
    <phoneticPr fontId="1" type="noConversion"/>
  </si>
  <si>
    <t>#7
(921L)</t>
    <phoneticPr fontId="1" type="noConversion"/>
  </si>
  <si>
    <t>#8
(921P)</t>
    <phoneticPr fontId="1" type="noConversion"/>
  </si>
  <si>
    <t>김포발전-SCR</t>
    <phoneticPr fontId="1" type="noConversion"/>
  </si>
  <si>
    <t>김포발전-TMS</t>
    <phoneticPr fontId="1" type="noConversion"/>
  </si>
  <si>
    <t>NO/O2 Zero</t>
    <phoneticPr fontId="1" type="noConversion"/>
  </si>
  <si>
    <t>O2 25%</t>
    <phoneticPr fontId="1" type="noConversion"/>
  </si>
  <si>
    <t>O2 25%</t>
    <phoneticPr fontId="1" type="noConversion"/>
  </si>
  <si>
    <t>NO Zero</t>
    <phoneticPr fontId="1" type="noConversion"/>
  </si>
  <si>
    <t>NO Zero</t>
    <phoneticPr fontId="1" type="noConversion"/>
  </si>
  <si>
    <t>N2</t>
    <phoneticPr fontId="1" type="noConversion"/>
  </si>
  <si>
    <t>N2</t>
    <phoneticPr fontId="1" type="noConversion"/>
  </si>
  <si>
    <t>정도검사
(수수료 외)</t>
    <phoneticPr fontId="1" type="noConversion"/>
  </si>
  <si>
    <t>청구불가
(사업장 신청)</t>
    <phoneticPr fontId="1" type="noConversion"/>
  </si>
  <si>
    <t>2차</t>
    <phoneticPr fontId="1" type="noConversion"/>
  </si>
  <si>
    <t>2차</t>
    <phoneticPr fontId="1" type="noConversion"/>
  </si>
  <si>
    <t>NO 200ppm</t>
    <phoneticPr fontId="1" type="noConversion"/>
  </si>
  <si>
    <t>NO 200ppm</t>
    <phoneticPr fontId="1" type="noConversion"/>
  </si>
  <si>
    <t>NO 200ppm</t>
    <phoneticPr fontId="1" type="noConversion"/>
  </si>
  <si>
    <t>160.7/161.1</t>
    <phoneticPr fontId="1" type="noConversion"/>
  </si>
  <si>
    <t>161.1/161.2</t>
    <phoneticPr fontId="1" type="noConversion"/>
  </si>
  <si>
    <t>3차</t>
    <phoneticPr fontId="1" type="noConversion"/>
  </si>
  <si>
    <t>#1,2,3호기 공동 사용</t>
    <phoneticPr fontId="1" type="noConversion"/>
  </si>
  <si>
    <t>#1,2,3호기 공동 사용</t>
    <phoneticPr fontId="1" type="noConversion"/>
  </si>
  <si>
    <t>#1,2,3호기 공동 사용</t>
    <phoneticPr fontId="1" type="noConversion"/>
  </si>
  <si>
    <t>#1,2,3호기 공동 사용</t>
    <phoneticPr fontId="1" type="noConversion"/>
  </si>
  <si>
    <t>발주처
(정두현GJ 확인)</t>
    <phoneticPr fontId="1" type="noConversion"/>
  </si>
  <si>
    <t>431</t>
    <phoneticPr fontId="1" type="noConversion"/>
  </si>
  <si>
    <t>1차</t>
    <phoneticPr fontId="1" type="noConversion"/>
  </si>
  <si>
    <t>월 1회
SCR분기1회</t>
    <phoneticPr fontId="1" type="noConversion"/>
  </si>
  <si>
    <t>Dust</t>
    <phoneticPr fontId="1" type="noConversion"/>
  </si>
  <si>
    <t>디엑스지</t>
    <phoneticPr fontId="1" type="noConversion"/>
  </si>
  <si>
    <t>디엑스지</t>
    <phoneticPr fontId="1" type="noConversion"/>
  </si>
  <si>
    <t>발주처</t>
    <phoneticPr fontId="1" type="noConversion"/>
  </si>
  <si>
    <r>
      <t xml:space="preserve">디엑스지
</t>
    </r>
    <r>
      <rPr>
        <sz val="6"/>
        <rFont val="맑은 고딕"/>
        <family val="3"/>
        <charset val="129"/>
        <scheme val="minor"/>
      </rPr>
      <t>(삼진아이앤티 통해 구매)</t>
    </r>
    <phoneticPr fontId="1" type="noConversion"/>
  </si>
  <si>
    <t>2차</t>
    <phoneticPr fontId="1" type="noConversion"/>
  </si>
  <si>
    <t>Purge Air Filter</t>
    <phoneticPr fontId="1" type="noConversion"/>
  </si>
  <si>
    <t>디엑스지</t>
    <phoneticPr fontId="1" type="noConversion"/>
  </si>
  <si>
    <t>5차</t>
    <phoneticPr fontId="1" type="noConversion"/>
  </si>
  <si>
    <t>5차</t>
    <phoneticPr fontId="1" type="noConversion"/>
  </si>
  <si>
    <t>2 M/D</t>
    <phoneticPr fontId="1" type="noConversion"/>
  </si>
  <si>
    <t>1차</t>
    <phoneticPr fontId="1" type="noConversion"/>
  </si>
  <si>
    <t>169.6</t>
    <phoneticPr fontId="1" type="noConversion"/>
  </si>
  <si>
    <t>월 2회
(24/6/1~)</t>
    <phoneticPr fontId="1" type="noConversion"/>
  </si>
  <si>
    <t>9
(구 8호기)</t>
    <phoneticPr fontId="1" type="noConversion"/>
  </si>
  <si>
    <t>전송</t>
    <phoneticPr fontId="1" type="noConversion"/>
  </si>
  <si>
    <t>2M/D</t>
    <phoneticPr fontId="1" type="noConversion"/>
  </si>
  <si>
    <t>4차</t>
    <phoneticPr fontId="1" type="noConversion"/>
  </si>
  <si>
    <t>5차</t>
    <phoneticPr fontId="1" type="noConversion"/>
  </si>
  <si>
    <t>본사</t>
    <phoneticPr fontId="1" type="noConversion"/>
  </si>
  <si>
    <t>#6
(921M)</t>
    <phoneticPr fontId="1" type="noConversion"/>
  </si>
  <si>
    <t>정도검사 진행비
(수수료 외)</t>
    <phoneticPr fontId="1" type="noConversion"/>
  </si>
  <si>
    <t>1차</t>
    <phoneticPr fontId="1" type="noConversion"/>
  </si>
  <si>
    <t>교체</t>
    <phoneticPr fontId="1" type="noConversion"/>
  </si>
  <si>
    <t>425</t>
    <phoneticPr fontId="1" type="noConversion"/>
  </si>
  <si>
    <t>청구불가</t>
    <phoneticPr fontId="1" type="noConversion"/>
  </si>
  <si>
    <t>2차</t>
    <phoneticPr fontId="1" type="noConversion"/>
  </si>
  <si>
    <t>2차</t>
    <phoneticPr fontId="1" type="noConversion"/>
  </si>
  <si>
    <t>2차</t>
    <phoneticPr fontId="1" type="noConversion"/>
  </si>
  <si>
    <t>NO/SO2 500/500ppm</t>
    <phoneticPr fontId="1" type="noConversion"/>
  </si>
  <si>
    <t>O2 Zero</t>
    <phoneticPr fontId="1" type="noConversion"/>
  </si>
  <si>
    <t>1차</t>
    <phoneticPr fontId="1" type="noConversion"/>
  </si>
  <si>
    <t>Dust</t>
    <phoneticPr fontId="1" type="noConversion"/>
  </si>
  <si>
    <t>2차</t>
    <phoneticPr fontId="1" type="noConversion"/>
  </si>
  <si>
    <t>3
신규분</t>
    <phoneticPr fontId="1" type="noConversion"/>
  </si>
  <si>
    <t>6차</t>
    <phoneticPr fontId="1" type="noConversion"/>
  </si>
  <si>
    <t>디엑스지</t>
    <phoneticPr fontId="1" type="noConversion"/>
  </si>
  <si>
    <t>월 2회
(30,80,100 2회
921LMP 2회)
-&gt;매주</t>
    <phoneticPr fontId="1" type="noConversion"/>
  </si>
  <si>
    <t>23/8/28 교체</t>
    <phoneticPr fontId="1" type="noConversion"/>
  </si>
  <si>
    <t>7차</t>
    <phoneticPr fontId="1" type="noConversion"/>
  </si>
  <si>
    <t>2차</t>
    <phoneticPr fontId="1" type="noConversion"/>
  </si>
  <si>
    <t>2차</t>
    <phoneticPr fontId="1" type="noConversion"/>
  </si>
  <si>
    <t>청구불가</t>
    <phoneticPr fontId="1" type="noConversion"/>
  </si>
  <si>
    <t>청구불가</t>
    <phoneticPr fontId="1" type="noConversion"/>
  </si>
  <si>
    <t>7차</t>
    <phoneticPr fontId="1" type="noConversion"/>
  </si>
  <si>
    <t>NO/SO2 Zero</t>
    <phoneticPr fontId="1" type="noConversion"/>
  </si>
  <si>
    <t>NO Zero</t>
    <phoneticPr fontId="1" type="noConversion"/>
  </si>
  <si>
    <t>NO 200ppm</t>
    <phoneticPr fontId="1" type="noConversion"/>
  </si>
  <si>
    <t>NO/SO2 500/500ppm</t>
    <phoneticPr fontId="1" type="noConversion"/>
  </si>
  <si>
    <t>정도검사</t>
    <phoneticPr fontId="1" type="noConversion"/>
  </si>
  <si>
    <t>NO 500ppm</t>
    <phoneticPr fontId="1" type="noConversion"/>
  </si>
  <si>
    <t>NO/SO2 500/500ppm</t>
    <phoneticPr fontId="1" type="noConversion"/>
  </si>
  <si>
    <t>9/30 가스상 정도검사 완료</t>
    <phoneticPr fontId="1" type="noConversion"/>
  </si>
  <si>
    <t>사업장 신청</t>
    <phoneticPr fontId="1" type="noConversion"/>
  </si>
  <si>
    <t>353/403</t>
    <phoneticPr fontId="1" type="noConversion"/>
  </si>
  <si>
    <t>23/8/28 교체</t>
    <phoneticPr fontId="1" type="noConversion"/>
  </si>
  <si>
    <t>N2</t>
    <phoneticPr fontId="1" type="noConversion"/>
  </si>
  <si>
    <t>N2</t>
    <phoneticPr fontId="1" type="noConversion"/>
  </si>
  <si>
    <t>디엑스지
(요청 시)</t>
    <phoneticPr fontId="1" type="noConversion"/>
  </si>
  <si>
    <t>디엑스지</t>
    <phoneticPr fontId="1" type="noConversion"/>
  </si>
  <si>
    <t>2차</t>
    <phoneticPr fontId="1" type="noConversion"/>
  </si>
  <si>
    <t>전송</t>
    <phoneticPr fontId="1" type="noConversion"/>
  </si>
  <si>
    <t>비전송??</t>
    <phoneticPr fontId="1" type="noConversion"/>
  </si>
  <si>
    <t>NO Zero</t>
    <phoneticPr fontId="1" type="noConversion"/>
  </si>
  <si>
    <t>NO Zero</t>
    <phoneticPr fontId="1" type="noConversion"/>
  </si>
  <si>
    <t>NO 500ppm</t>
    <phoneticPr fontId="1" type="noConversion"/>
  </si>
  <si>
    <t>분석기 계약 내 24. 12까지</t>
    <phoneticPr fontId="1" type="noConversion"/>
  </si>
  <si>
    <t xml:space="preserve"> 유지보수용역 포함되어 있음</t>
    <phoneticPr fontId="1" type="noConversion"/>
  </si>
  <si>
    <t>N2</t>
    <phoneticPr fontId="1" type="noConversion"/>
  </si>
  <si>
    <t>N2</t>
    <phoneticPr fontId="1" type="noConversion"/>
  </si>
  <si>
    <t>소모품</t>
    <phoneticPr fontId="2" type="noConversion"/>
  </si>
  <si>
    <t>전송</t>
    <phoneticPr fontId="1" type="noConversion"/>
  </si>
  <si>
    <t>NO/O2 Zero</t>
    <phoneticPr fontId="1" type="noConversion"/>
  </si>
  <si>
    <t>NO Zero</t>
    <phoneticPr fontId="1" type="noConversion"/>
  </si>
  <si>
    <t>NO 600ppm</t>
    <phoneticPr fontId="1" type="noConversion"/>
  </si>
  <si>
    <t>1 M/D</t>
    <phoneticPr fontId="1" type="noConversion"/>
  </si>
  <si>
    <t>1 M/D</t>
    <phoneticPr fontId="1" type="noConversion"/>
  </si>
  <si>
    <t>월 1회</t>
    <phoneticPr fontId="1" type="noConversion"/>
  </si>
  <si>
    <t>1차</t>
    <phoneticPr fontId="1" type="noConversion"/>
  </si>
  <si>
    <t>512</t>
    <phoneticPr fontId="1" type="noConversion"/>
  </si>
  <si>
    <t>3차</t>
    <phoneticPr fontId="1" type="noConversion"/>
  </si>
  <si>
    <t>3차</t>
    <phoneticPr fontId="1" type="noConversion"/>
  </si>
  <si>
    <t>2차</t>
    <phoneticPr fontId="1" type="noConversion"/>
  </si>
  <si>
    <t>비전송이라 진행 여부 확인 필요..(22년도에도 안함)</t>
    <phoneticPr fontId="1" type="noConversion"/>
  </si>
  <si>
    <t>비전송</t>
    <phoneticPr fontId="1" type="noConversion"/>
  </si>
  <si>
    <t>비전송</t>
    <phoneticPr fontId="1" type="noConversion"/>
  </si>
  <si>
    <t>비전송</t>
    <phoneticPr fontId="1" type="noConversion"/>
  </si>
  <si>
    <t>2 M/D</t>
    <phoneticPr fontId="1" type="noConversion"/>
  </si>
  <si>
    <t>4
(샘플링)</t>
    <phoneticPr fontId="1" type="noConversion"/>
  </si>
  <si>
    <t>170</t>
    <phoneticPr fontId="1" type="noConversion"/>
  </si>
  <si>
    <t>Dust</t>
    <phoneticPr fontId="1" type="noConversion"/>
  </si>
  <si>
    <t>청구불가</t>
    <phoneticPr fontId="1" type="noConversion"/>
  </si>
  <si>
    <t>6차</t>
    <phoneticPr fontId="1" type="noConversion"/>
  </si>
  <si>
    <t>디엑스지</t>
    <phoneticPr fontId="1" type="noConversion"/>
  </si>
  <si>
    <t>2025년 1월</t>
    <phoneticPr fontId="2" type="noConversion"/>
  </si>
  <si>
    <t>S/O 발행</t>
    <phoneticPr fontId="1" type="noConversion"/>
  </si>
  <si>
    <t>구매 주체</t>
    <phoneticPr fontId="1" type="noConversion"/>
  </si>
  <si>
    <t>1차</t>
    <phoneticPr fontId="1" type="noConversion"/>
  </si>
  <si>
    <t>점검주기</t>
    <phoneticPr fontId="1" type="noConversion"/>
  </si>
  <si>
    <t>3차</t>
    <phoneticPr fontId="1" type="noConversion"/>
  </si>
  <si>
    <t>예정
(계속 차수)</t>
    <phoneticPr fontId="1" type="noConversion"/>
  </si>
  <si>
    <t>1차</t>
    <phoneticPr fontId="1" type="noConversion"/>
  </si>
  <si>
    <t>ahskflkw</t>
    <phoneticPr fontId="2" type="noConversion"/>
  </si>
  <si>
    <t>#3 24/11/22 KEMTI 입고
정도검사 진행여부는 상황별 다름</t>
    <phoneticPr fontId="1" type="noConversion"/>
  </si>
  <si>
    <t>민간사업장</t>
    <phoneticPr fontId="2" type="noConversion"/>
  </si>
  <si>
    <t>2
혐기성</t>
    <phoneticPr fontId="1" type="noConversion"/>
  </si>
  <si>
    <t>22/11/16(PGA-94)-&gt;23/4/17(PGA-93) 다시취득 (LNG 변경,, 혐기성X 확인완료)</t>
    <phoneticPr fontId="1" type="noConversion"/>
  </si>
  <si>
    <t>515/515</t>
    <phoneticPr fontId="1" type="noConversion"/>
  </si>
  <si>
    <t>2차</t>
    <phoneticPr fontId="1" type="noConversion"/>
  </si>
  <si>
    <t>2차</t>
    <phoneticPr fontId="1" type="noConversion"/>
  </si>
  <si>
    <t>2개월 전 인상 언급해야한다고 함</t>
    <phoneticPr fontId="1" type="noConversion"/>
  </si>
  <si>
    <t>2차</t>
    <phoneticPr fontId="1" type="noConversion"/>
  </si>
  <si>
    <t>전송</t>
    <phoneticPr fontId="1" type="noConversion"/>
  </si>
  <si>
    <t>분석기 Range</t>
    <phoneticPr fontId="1" type="noConversion"/>
  </si>
  <si>
    <t>전송</t>
    <phoneticPr fontId="1" type="noConversion"/>
  </si>
  <si>
    <t>전송</t>
    <phoneticPr fontId="1" type="noConversion"/>
  </si>
  <si>
    <t>디엑스지</t>
    <phoneticPr fontId="1" type="noConversion"/>
  </si>
  <si>
    <t>본사</t>
    <phoneticPr fontId="1" type="noConversion"/>
  </si>
  <si>
    <t>본사</t>
    <phoneticPr fontId="1" type="noConversion"/>
  </si>
  <si>
    <t>2차</t>
    <phoneticPr fontId="1" type="noConversion"/>
  </si>
  <si>
    <t>2차</t>
    <phoneticPr fontId="1" type="noConversion"/>
  </si>
  <si>
    <t>가스분석기 유속계 정도검사 3,4월 종료되는걸로 희망
(기준일 맞추기 위해서)</t>
    <phoneticPr fontId="1" type="noConversion"/>
  </si>
  <si>
    <t>NO 600ppm</t>
    <phoneticPr fontId="1" type="noConversion"/>
  </si>
  <si>
    <t>2차</t>
    <phoneticPr fontId="1" type="noConversion"/>
  </si>
  <si>
    <t>4차</t>
    <phoneticPr fontId="1" type="noConversion"/>
  </si>
  <si>
    <t>민간사업장</t>
    <phoneticPr fontId="2" type="noConversion"/>
  </si>
  <si>
    <t>수수료 발주처 부담
(별도 S/O 발행 X)</t>
    <phoneticPr fontId="1" type="noConversion"/>
  </si>
  <si>
    <t>1차</t>
    <phoneticPr fontId="1" type="noConversion"/>
  </si>
  <si>
    <t>디엑스지</t>
    <phoneticPr fontId="1" type="noConversion"/>
  </si>
  <si>
    <t>영남</t>
    <phoneticPr fontId="1" type="noConversion"/>
  </si>
  <si>
    <t>1차</t>
    <phoneticPr fontId="1" type="noConversion"/>
  </si>
  <si>
    <t>(보조보일러)</t>
    <phoneticPr fontId="1" type="noConversion"/>
  </si>
  <si>
    <t>전송
(TMS)</t>
    <phoneticPr fontId="1" type="noConversion"/>
  </si>
  <si>
    <t>NO 40ppm</t>
    <phoneticPr fontId="1" type="noConversion"/>
  </si>
  <si>
    <t>34</t>
    <phoneticPr fontId="1" type="noConversion"/>
  </si>
  <si>
    <t>본사</t>
    <phoneticPr fontId="1" type="noConversion"/>
  </si>
  <si>
    <t>주1회 1대씩 점검 → 격주점검</t>
    <phoneticPr fontId="1" type="noConversion"/>
  </si>
  <si>
    <t>주1회</t>
    <phoneticPr fontId="1" type="noConversion"/>
  </si>
  <si>
    <t>2M/D</t>
    <phoneticPr fontId="1" type="noConversion"/>
  </si>
  <si>
    <t>#1,2,59-Nox 일괄진행(25년)</t>
    <phoneticPr fontId="1" type="noConversion"/>
  </si>
  <si>
    <t>1차</t>
    <phoneticPr fontId="1" type="noConversion"/>
  </si>
  <si>
    <t>미사용</t>
    <phoneticPr fontId="1" type="noConversion"/>
  </si>
  <si>
    <t>Dust</t>
    <phoneticPr fontId="1" type="noConversion"/>
  </si>
  <si>
    <t>3
LNG</t>
    <phoneticPr fontId="1" type="noConversion"/>
  </si>
  <si>
    <t>NO 100ppm</t>
    <phoneticPr fontId="1" type="noConversion"/>
  </si>
  <si>
    <t>O2 25%</t>
    <phoneticPr fontId="1" type="noConversion"/>
  </si>
  <si>
    <t>NO/O2 Zero</t>
    <phoneticPr fontId="1" type="noConversion"/>
  </si>
  <si>
    <t>NO 210ppm</t>
    <phoneticPr fontId="1" type="noConversion"/>
  </si>
  <si>
    <t>2M/D</t>
    <phoneticPr fontId="1" type="noConversion"/>
  </si>
  <si>
    <t>월 1회</t>
    <phoneticPr fontId="1" type="noConversion"/>
  </si>
  <si>
    <t>월 1회</t>
    <phoneticPr fontId="1" type="noConversion"/>
  </si>
  <si>
    <t>1차</t>
    <phoneticPr fontId="1" type="noConversion"/>
  </si>
  <si>
    <t>1차</t>
    <phoneticPr fontId="1" type="noConversion"/>
  </si>
  <si>
    <t>디엑스지</t>
    <phoneticPr fontId="1" type="noConversion"/>
  </si>
  <si>
    <t>3차</t>
    <phoneticPr fontId="1" type="noConversion"/>
  </si>
  <si>
    <t>3차</t>
    <phoneticPr fontId="1" type="noConversion"/>
  </si>
  <si>
    <t>3차</t>
    <phoneticPr fontId="1" type="noConversion"/>
  </si>
  <si>
    <t>*25년 유속-정도 사업장 직접 신청</t>
    <phoneticPr fontId="1" type="noConversion"/>
  </si>
  <si>
    <t>2 M/D</t>
    <phoneticPr fontId="1" type="noConversion"/>
  </si>
  <si>
    <t>사업장신청</t>
    <phoneticPr fontId="1" type="noConversion"/>
  </si>
  <si>
    <t>사업장 신청</t>
    <phoneticPr fontId="1" type="noConversion"/>
  </si>
  <si>
    <t>무상 공급으로 가는 이력 확인…</t>
    <phoneticPr fontId="1" type="noConversion"/>
  </si>
  <si>
    <t>서</t>
    <phoneticPr fontId="2" type="noConversion"/>
  </si>
  <si>
    <t>코오롱</t>
    <phoneticPr fontId="2" type="noConversion"/>
  </si>
  <si>
    <t>2차</t>
    <phoneticPr fontId="1" type="noConversion"/>
  </si>
  <si>
    <t>정도검사(유속) s/o 이력없음</t>
    <phoneticPr fontId="1" type="noConversion"/>
  </si>
  <si>
    <t>250429_윤태선책임_기존 계약 2년 연장 계획 ,,, 5월 중 요청 예정</t>
    <phoneticPr fontId="1" type="noConversion"/>
  </si>
  <si>
    <t>25-1148</t>
    <phoneticPr fontId="1" type="noConversion"/>
  </si>
  <si>
    <t>소모품</t>
    <phoneticPr fontId="2" type="noConversion"/>
  </si>
  <si>
    <t>감리파견</t>
    <phoneticPr fontId="2" type="noConversion"/>
  </si>
  <si>
    <t>어음</t>
    <phoneticPr fontId="2" type="noConversion"/>
  </si>
  <si>
    <t>PAP
(#19)</t>
    <phoneticPr fontId="1" type="noConversion"/>
  </si>
  <si>
    <t>정도검사수수료만 가능
유지보수 계약 내 정도검사 지원 역무 포함
정도검사용 가스는 발주 불가
(시험기관 지원하기에 부담 불가하다고 함)</t>
    <phoneticPr fontId="1" type="noConversion"/>
  </si>
  <si>
    <t>SSR 외</t>
    <phoneticPr fontId="2" type="noConversion"/>
  </si>
  <si>
    <t>3차</t>
    <phoneticPr fontId="1" type="noConversion"/>
  </si>
  <si>
    <t>#A28(25) 유속재재산정 필요
#A5(3) 정도검사 때 유속 재확인 필요할듯….
A28 올해 대상 아니여서 유지보수 할지 말지는 CS 팀에 문의하고 결정 예정 (5/22)</t>
    <phoneticPr fontId="1" type="noConversion"/>
  </si>
  <si>
    <t>디엑스지</t>
    <phoneticPr fontId="1" type="noConversion"/>
  </si>
  <si>
    <t>세라믹필터 4ea</t>
    <phoneticPr fontId="1" type="noConversion"/>
  </si>
  <si>
    <t>DLS-4000S 4ea</t>
    <phoneticPr fontId="1" type="noConversion"/>
  </si>
  <si>
    <t>교정가스 4SET</t>
    <phoneticPr fontId="1" type="noConversion"/>
  </si>
  <si>
    <t>NO Zero</t>
    <phoneticPr fontId="1" type="noConversion"/>
  </si>
  <si>
    <t>NO Zero</t>
    <phoneticPr fontId="1" type="noConversion"/>
  </si>
  <si>
    <t>NO/SO2 500/500ppm</t>
    <phoneticPr fontId="1" type="noConversion"/>
  </si>
  <si>
    <t>3차</t>
    <phoneticPr fontId="1" type="noConversion"/>
  </si>
  <si>
    <t>3차</t>
    <phoneticPr fontId="1" type="noConversion"/>
  </si>
  <si>
    <t>3
(2공장)
(칩용해로)</t>
    <phoneticPr fontId="1" type="noConversion"/>
  </si>
  <si>
    <t>16
(1공장
(용해로3호기))</t>
    <phoneticPr fontId="1" type="noConversion"/>
  </si>
  <si>
    <r>
      <t>중간가스는 2set 발주해서 사용하는 방법 고민해봐야할듯..?!
(발주처에서는 싫어할…지도 모르지만;;)
#1</t>
    </r>
    <r>
      <rPr>
        <strike/>
        <sz val="10"/>
        <color theme="1"/>
        <rFont val="맑은 고딕"/>
        <family val="3"/>
        <charset val="129"/>
        <scheme val="minor"/>
      </rPr>
      <t>,16</t>
    </r>
    <r>
      <rPr>
        <sz val="10"/>
        <color theme="1"/>
        <rFont val="맑은 고딕"/>
        <family val="3"/>
        <charset val="129"/>
        <scheme val="minor"/>
      </rPr>
      <t xml:space="preserve"> 피토관 곧 교체 필요(정문식C)
#3 피토관 끝.. 용접 떨어짐?!ㅠ</t>
    </r>
    <phoneticPr fontId="1" type="noConversion"/>
  </si>
  <si>
    <t>명화공업-세명(COBA)</t>
    <phoneticPr fontId="1" type="noConversion"/>
  </si>
  <si>
    <t>1차</t>
    <phoneticPr fontId="1" type="noConversion"/>
  </si>
  <si>
    <t>9/17(수) -정도검사 예정</t>
    <phoneticPr fontId="1" type="noConversion"/>
  </si>
  <si>
    <t>1차</t>
    <phoneticPr fontId="1" type="noConversion"/>
  </si>
  <si>
    <t>1차</t>
    <phoneticPr fontId="1" type="noConversion"/>
  </si>
  <si>
    <t>1차</t>
    <phoneticPr fontId="1" type="noConversion"/>
  </si>
  <si>
    <t>피토관 휨발생으로 재제작</t>
    <phoneticPr fontId="1" type="noConversion"/>
  </si>
  <si>
    <t>425/425</t>
    <phoneticPr fontId="1" type="noConversion"/>
  </si>
  <si>
    <t>23/7/20 동서식품 자체 신청함</t>
    <phoneticPr fontId="1" type="noConversion"/>
  </si>
  <si>
    <t>Sampling Pump</t>
    <phoneticPr fontId="2" type="noConversion"/>
  </si>
  <si>
    <t>7/2 유속계 취외</t>
    <phoneticPr fontId="1" type="noConversion"/>
  </si>
  <si>
    <t>DLS-4000</t>
    <phoneticPr fontId="1" type="noConversion"/>
  </si>
  <si>
    <t>3차</t>
    <phoneticPr fontId="1" type="noConversion"/>
  </si>
  <si>
    <t>NO Zero</t>
    <phoneticPr fontId="1" type="noConversion"/>
  </si>
  <si>
    <t>Nox 총량미달
cleansys에 이미 비전송상태 (25.07.11)
-&gt;Fiti에 물어보니,, 정도검사기록부에 SO2항목만 확인했다고 기록한다고 함</t>
    <phoneticPr fontId="1" type="noConversion"/>
  </si>
  <si>
    <t>비전송</t>
    <phoneticPr fontId="1" type="noConversion"/>
  </si>
  <si>
    <t>비전송</t>
    <phoneticPr fontId="1" type="noConversion"/>
  </si>
  <si>
    <t>25-1623
(완료)</t>
    <phoneticPr fontId="1" type="noConversion"/>
  </si>
  <si>
    <t>25-1545</t>
    <phoneticPr fontId="1" type="noConversion"/>
  </si>
  <si>
    <t>#8,9 비전송</t>
    <phoneticPr fontId="1" type="noConversion"/>
  </si>
  <si>
    <t>정도검사 사전점검 관련 비용 청구 차후에 될 수 있게 조정요청</t>
    <phoneticPr fontId="1" type="noConversion"/>
  </si>
  <si>
    <t>3차</t>
    <phoneticPr fontId="1" type="noConversion"/>
  </si>
  <si>
    <t>사업장 자체 신청
진행비만 받음
(유속계 25/8/1 설치)</t>
    <phoneticPr fontId="1" type="noConversion"/>
  </si>
  <si>
    <t>25-1717
(25/8/5 완료)</t>
    <phoneticPr fontId="1" type="noConversion"/>
  </si>
  <si>
    <t>정부지원금이 多, 그래서 21~24년까지 금액 고정으로 가기로 협의됐다고 함 (송재석CJ)</t>
    <phoneticPr fontId="1" type="noConversion"/>
  </si>
  <si>
    <t>지자체 지원금 상향 설정, 인상협의 어려울 것으로 보임</t>
    <phoneticPr fontId="1" type="noConversion"/>
  </si>
  <si>
    <t>HCL 50ppm</t>
    <phoneticPr fontId="1" type="noConversion"/>
  </si>
  <si>
    <t>16→24</t>
    <phoneticPr fontId="1" type="noConversion"/>
  </si>
  <si>
    <t>315/401</t>
    <phoneticPr fontId="1" type="noConversion"/>
  </si>
  <si>
    <t>신청은 사업장
유속 정도검사비 청구 가능
(25년 청구완료)</t>
    <phoneticPr fontId="1" type="noConversion"/>
  </si>
  <si>
    <t>가스 일괄구매 26년 1월 재검토 예정</t>
    <phoneticPr fontId="1" type="noConversion"/>
  </si>
  <si>
    <t>삼현 (신규)</t>
    <phoneticPr fontId="1" type="noConversion"/>
  </si>
  <si>
    <t>NO/O2 Zero</t>
    <phoneticPr fontId="1" type="noConversion"/>
  </si>
  <si>
    <t>NO/SO2 500/500ppm</t>
    <phoneticPr fontId="1" type="noConversion"/>
  </si>
  <si>
    <t>NO Zero</t>
    <phoneticPr fontId="1" type="noConversion"/>
  </si>
  <si>
    <t>NO/SO2 400/500ppm</t>
    <phoneticPr fontId="1" type="noConversion"/>
  </si>
  <si>
    <t>#2 Nox 25/7/2 완료
#2 유속 25/9/2 취외완료</t>
    <phoneticPr fontId="1" type="noConversion"/>
  </si>
  <si>
    <t>1
(비전송)</t>
    <phoneticPr fontId="1" type="noConversion"/>
  </si>
  <si>
    <t>분기 1회</t>
    <phoneticPr fontId="1" type="noConversion"/>
  </si>
  <si>
    <t>월 1회</t>
    <phoneticPr fontId="1" type="noConversion"/>
  </si>
  <si>
    <t>A6</t>
    <phoneticPr fontId="1" type="noConversion"/>
  </si>
  <si>
    <t>NO/SO2 200/500ppm</t>
    <phoneticPr fontId="1" type="noConversion"/>
  </si>
  <si>
    <t>X</t>
    <phoneticPr fontId="1" type="noConversion"/>
  </si>
  <si>
    <t>해당없음</t>
    <phoneticPr fontId="1" type="noConversion"/>
  </si>
  <si>
    <t>진행비 별도 청구X</t>
    <phoneticPr fontId="1" type="noConversion"/>
  </si>
  <si>
    <t>격월 1회</t>
    <phoneticPr fontId="1" type="noConversion"/>
  </si>
  <si>
    <t>긴급 50만 별도</t>
    <phoneticPr fontId="1" type="noConversion"/>
  </si>
  <si>
    <t>175/85</t>
    <phoneticPr fontId="1" type="noConversion"/>
  </si>
  <si>
    <t>1차</t>
    <phoneticPr fontId="1" type="noConversion"/>
  </si>
  <si>
    <t>디엑스지</t>
    <phoneticPr fontId="1" type="noConversion"/>
  </si>
  <si>
    <t>#2,3 유속계 정도검사기록부 발급 12월까지 발주처가 받아야 함
#10 유속 -9/18 사내 도착</t>
    <phoneticPr fontId="1" type="noConversion"/>
  </si>
  <si>
    <t>9월 초 통합점검으로 9월 중순 취외 요청
9월 취외 완료 상태</t>
    <phoneticPr fontId="1" type="noConversion"/>
  </si>
  <si>
    <t>NO/SO2 500/500ppm</t>
    <phoneticPr fontId="1" type="noConversion"/>
  </si>
  <si>
    <r>
      <rPr>
        <b/>
        <strike/>
        <sz val="10"/>
        <color rgb="FFFF0000"/>
        <rFont val="맑은 고딕"/>
        <family val="3"/>
        <charset val="129"/>
        <scheme val="minor"/>
      </rPr>
      <t>NO</t>
    </r>
    <r>
      <rPr>
        <sz val="10"/>
        <rFont val="맑은 고딕"/>
        <family val="3"/>
        <charset val="129"/>
        <scheme val="minor"/>
      </rPr>
      <t xml:space="preserve">/SO2 </t>
    </r>
    <r>
      <rPr>
        <strike/>
        <sz val="10"/>
        <rFont val="맑은 고딕"/>
        <family val="3"/>
        <charset val="129"/>
        <scheme val="minor"/>
      </rPr>
      <t>500</t>
    </r>
    <r>
      <rPr>
        <sz val="10"/>
        <rFont val="맑은 고딕"/>
        <family val="3"/>
        <charset val="129"/>
        <scheme val="minor"/>
      </rPr>
      <t>/500ppm</t>
    </r>
    <phoneticPr fontId="1" type="noConversion"/>
  </si>
  <si>
    <t>426</t>
    <phoneticPr fontId="1" type="noConversion"/>
  </si>
  <si>
    <t>-</t>
    <phoneticPr fontId="1" type="noConversion"/>
  </si>
  <si>
    <t>25/9/12 완료통보서 수신</t>
    <phoneticPr fontId="1" type="noConversion"/>
  </si>
  <si>
    <t>청구불가</t>
    <phoneticPr fontId="1" type="noConversion"/>
  </si>
  <si>
    <t>청구불가</t>
    <phoneticPr fontId="1" type="noConversion"/>
  </si>
  <si>
    <t>.</t>
    <phoneticPr fontId="1" type="noConversion"/>
  </si>
  <si>
    <t>25.10.29 통화_배출량 감소로 부착면제 예상</t>
    <phoneticPr fontId="1" type="noConversion"/>
  </si>
  <si>
    <t>3차</t>
    <phoneticPr fontId="1" type="noConversion"/>
  </si>
  <si>
    <t>25-3058</t>
    <phoneticPr fontId="1" type="noConversion"/>
  </si>
  <si>
    <t>25.11.17_월 500견적으로 내년 계약 가능할듯 (이승일매니저)</t>
    <phoneticPr fontId="1" type="noConversion"/>
  </si>
  <si>
    <t>25.11.13 유속 반출</t>
    <phoneticPr fontId="1" type="noConversion"/>
  </si>
  <si>
    <t>디엑스지</t>
    <phoneticPr fontId="1" type="noConversion"/>
  </si>
  <si>
    <t>ㅎ</t>
    <phoneticPr fontId="2" type="noConversion"/>
  </si>
  <si>
    <t>NO/SO2/CO Zero</t>
    <phoneticPr fontId="1" type="noConversion"/>
  </si>
  <si>
    <t>25.11.19_내년 유지 유선 통화 완료 (서병재T)</t>
    <phoneticPr fontId="1" type="noConversion"/>
  </si>
  <si>
    <t>25.12 폐쇄가능성 있어 소모품 발주 가급적 홀딩 (25.11.21_우용린B 통화완료)</t>
    <phoneticPr fontId="1" type="noConversion"/>
  </si>
  <si>
    <t>NO 50ppm</t>
    <phoneticPr fontId="1" type="noConversion"/>
  </si>
  <si>
    <t>NO 50ppm</t>
    <phoneticPr fontId="1" type="noConversion"/>
  </si>
  <si>
    <t>2차</t>
    <phoneticPr fontId="1" type="noConversion"/>
  </si>
  <si>
    <t>25-3058
(도착완료)</t>
    <phoneticPr fontId="1" type="noConversion"/>
  </si>
  <si>
    <t>4차</t>
    <phoneticPr fontId="1" type="noConversion"/>
  </si>
  <si>
    <t>내부 보고해보고 연락하겠다고 함</t>
    <phoneticPr fontId="1" type="noConversion"/>
  </si>
  <si>
    <t>25.12.10_내부 컨설팅 시 3년 계약 사례 접하고, 개인적인 궁금사항으로 문의함</t>
    <phoneticPr fontId="1" type="noConversion"/>
  </si>
  <si>
    <t>40</t>
    <phoneticPr fontId="1" type="noConversion"/>
  </si>
  <si>
    <t>40</t>
    <phoneticPr fontId="1" type="noConversion"/>
  </si>
  <si>
    <t>25.12.12_12/15~19 사이에 계약서 재작성 여부 연락준다고 함</t>
    <phoneticPr fontId="1" type="noConversion"/>
  </si>
  <si>
    <t>25.12.12 다음 점검 일정에 계약서 전달해주기로 함</t>
    <phoneticPr fontId="1" type="noConversion"/>
  </si>
  <si>
    <t>25.12.12_26년1월부터 4개호기 진행 변동사항 없음</t>
    <phoneticPr fontId="1" type="noConversion"/>
  </si>
  <si>
    <t>23-0046</t>
    <phoneticPr fontId="1" type="noConversion"/>
  </si>
  <si>
    <t>25-3324</t>
    <phoneticPr fontId="1" type="noConversion"/>
  </si>
  <si>
    <t>25-3324</t>
    <phoneticPr fontId="1" type="noConversion"/>
  </si>
  <si>
    <t>25-3324
(~26/1/19)</t>
    <phoneticPr fontId="1" type="noConversion"/>
  </si>
  <si>
    <t>25-0033</t>
    <phoneticPr fontId="1" type="noConversion"/>
  </si>
  <si>
    <t>25년 유속계 동우화인켐 S/O 이력없음</t>
    <phoneticPr fontId="1" type="noConversion"/>
  </si>
  <si>
    <t>25-3335</t>
    <phoneticPr fontId="1" type="noConversion"/>
  </si>
  <si>
    <t>2차 점검 때 레귤레이터 확인 필요</t>
    <phoneticPr fontId="1" type="noConversion"/>
  </si>
  <si>
    <t>GS동해전력</t>
    <phoneticPr fontId="1" type="noConversion"/>
  </si>
  <si>
    <t>대륜발전
(별내에너지)</t>
    <phoneticPr fontId="1" type="noConversion"/>
  </si>
  <si>
    <t>오라이온코리아
(오리온엔지니어드카본즈)</t>
    <phoneticPr fontId="1" type="noConversion"/>
  </si>
  <si>
    <t>금강공업 언양</t>
    <phoneticPr fontId="1" type="noConversion"/>
  </si>
  <si>
    <t>삼우 2공장</t>
    <phoneticPr fontId="1" type="noConversion"/>
  </si>
  <si>
    <t>코미코</t>
    <phoneticPr fontId="1" type="noConversion"/>
  </si>
  <si>
    <t>프린스페이퍼
(네오그린텍)</t>
    <phoneticPr fontId="1" type="noConversion"/>
  </si>
  <si>
    <t>26년 2월 발주 계획</t>
    <phoneticPr fontId="1" type="noConversion"/>
  </si>
  <si>
    <t>HCL 50ppm</t>
    <phoneticPr fontId="1" type="noConversion"/>
  </si>
  <si>
    <t>Beam Splitter</t>
    <phoneticPr fontId="1" type="noConversion"/>
  </si>
  <si>
    <t>LG화학 나주공장 KFC</t>
    <phoneticPr fontId="1" type="noConversion"/>
  </si>
  <si>
    <t>영월빛드림</t>
    <phoneticPr fontId="1" type="noConversion"/>
  </si>
  <si>
    <t>검단지역난방설비
(청라에너지)</t>
    <phoneticPr fontId="1" type="noConversion"/>
  </si>
  <si>
    <t>25-3389</t>
    <phoneticPr fontId="1" type="noConversion"/>
  </si>
  <si>
    <t>한국주철관공업</t>
    <phoneticPr fontId="1" type="noConversion"/>
  </si>
  <si>
    <t>25-1532</t>
    <phoneticPr fontId="1" type="noConversion"/>
  </si>
  <si>
    <t xml:space="preserve">3/26~28 </t>
    <phoneticPr fontId="1" type="noConversion"/>
  </si>
  <si>
    <t>26-0069</t>
    <phoneticPr fontId="1" type="noConversion"/>
  </si>
  <si>
    <t>1
(2공장)
(용해로)</t>
    <phoneticPr fontId="1" type="noConversion"/>
  </si>
  <si>
    <t>2
(1공장)
(칩용해로)</t>
    <phoneticPr fontId="1" type="noConversion"/>
  </si>
  <si>
    <t>도착완료</t>
    <phoneticPr fontId="1" type="noConversion"/>
  </si>
  <si>
    <t>도착완료</t>
    <phoneticPr fontId="1" type="noConversion"/>
  </si>
  <si>
    <t>전송</t>
    <phoneticPr fontId="1" type="noConversion"/>
  </si>
  <si>
    <t>전송</t>
    <phoneticPr fontId="1" type="noConversion"/>
  </si>
  <si>
    <t>26-0088</t>
    <phoneticPr fontId="1" type="noConversion"/>
  </si>
  <si>
    <t>26-0088</t>
    <phoneticPr fontId="1" type="noConversion"/>
  </si>
  <si>
    <t>전송</t>
    <phoneticPr fontId="3" type="noConversion"/>
  </si>
  <si>
    <t>ㅇ</t>
    <phoneticPr fontId="2" type="noConversion"/>
  </si>
  <si>
    <t>재확인필요</t>
    <phoneticPr fontId="1" type="noConversion"/>
  </si>
  <si>
    <t>NO/SO2/CO 200/200/600ppm</t>
    <phoneticPr fontId="1" type="noConversion"/>
  </si>
  <si>
    <t>010-4773-9954 (김다솜)
금액 오를 시 유선으로 사전 인폼 요청</t>
    <phoneticPr fontId="1" type="noConversion"/>
  </si>
  <si>
    <t>한국 바스프 여수
(한전산업개발)
(구.사이스여수열병합)</t>
    <phoneticPr fontId="1" type="noConversion"/>
  </si>
  <si>
    <t>2 M/D</t>
    <phoneticPr fontId="1" type="noConversion"/>
  </si>
  <si>
    <t>분기1회</t>
    <phoneticPr fontId="1" type="noConversion"/>
  </si>
  <si>
    <t>발주처</t>
    <phoneticPr fontId="1" type="noConversion"/>
  </si>
  <si>
    <t>23-0046</t>
    <phoneticPr fontId="1" type="noConversion"/>
  </si>
  <si>
    <t>26-0069</t>
    <phoneticPr fontId="1" type="noConversion"/>
  </si>
  <si>
    <t>앰코테크놀로지 송도</t>
    <phoneticPr fontId="1" type="noConversion"/>
  </si>
  <si>
    <t>O2 25%</t>
    <phoneticPr fontId="1" type="noConversion"/>
  </si>
  <si>
    <t>O2</t>
    <phoneticPr fontId="1" type="noConversion"/>
  </si>
  <si>
    <t>NO Zero</t>
    <phoneticPr fontId="1" type="noConversion"/>
  </si>
  <si>
    <t>4,5</t>
    <phoneticPr fontId="1" type="noConversion"/>
  </si>
  <si>
    <t>본사</t>
    <phoneticPr fontId="1" type="noConversion"/>
  </si>
  <si>
    <t>7
(복합4호기)</t>
    <phoneticPr fontId="1" type="noConversion"/>
  </si>
  <si>
    <t>8
(복합4호기)</t>
    <phoneticPr fontId="1" type="noConversion"/>
  </si>
  <si>
    <t>오뚜기 대풍공장</t>
    <phoneticPr fontId="1" type="noConversion"/>
  </si>
  <si>
    <t>26-0081</t>
    <phoneticPr fontId="1" type="noConversion"/>
  </si>
  <si>
    <t>26-0081</t>
    <phoneticPr fontId="1" type="noConversion"/>
  </si>
  <si>
    <t>호남</t>
    <phoneticPr fontId="1" type="noConversion"/>
  </si>
  <si>
    <t>25-3346</t>
    <phoneticPr fontId="1" type="noConversion"/>
  </si>
  <si>
    <t>사업장진행</t>
    <phoneticPr fontId="1" type="noConversion"/>
  </si>
  <si>
    <t>영남</t>
    <phoneticPr fontId="1" type="noConversion"/>
  </si>
  <si>
    <t>사업장진행</t>
    <phoneticPr fontId="1" type="noConversion"/>
  </si>
  <si>
    <t>25-3329
(#2 완료)</t>
    <phoneticPr fontId="1" type="noConversion"/>
  </si>
  <si>
    <t>지원금 대상으로 빠른 진행 요청</t>
    <phoneticPr fontId="1" type="noConversion"/>
  </si>
  <si>
    <t>26년 1월 O2 가스 제거</t>
    <phoneticPr fontId="1" type="noConversion"/>
  </si>
  <si>
    <t>26-0187</t>
    <phoneticPr fontId="1" type="noConversion"/>
  </si>
  <si>
    <t>26-0187</t>
    <phoneticPr fontId="1" type="noConversion"/>
  </si>
  <si>
    <t>26-0193</t>
    <phoneticPr fontId="1" type="noConversion"/>
  </si>
  <si>
    <t>26-0197</t>
    <phoneticPr fontId="1" type="noConversion"/>
  </si>
  <si>
    <t>26-0197</t>
    <phoneticPr fontId="1" type="noConversion"/>
  </si>
  <si>
    <t>26-0197</t>
    <phoneticPr fontId="1" type="noConversion"/>
  </si>
  <si>
    <t>26-0203</t>
    <phoneticPr fontId="1" type="noConversion"/>
  </si>
  <si>
    <t>26-0203</t>
    <phoneticPr fontId="1" type="noConversion"/>
  </si>
  <si>
    <t>26-0203</t>
    <phoneticPr fontId="1" type="noConversion"/>
  </si>
  <si>
    <t>NO 200ppm</t>
    <phoneticPr fontId="1" type="noConversion"/>
  </si>
  <si>
    <t>175ppm</t>
    <phoneticPr fontId="1" type="noConversion"/>
  </si>
  <si>
    <t>N2</t>
    <phoneticPr fontId="1" type="noConversion"/>
  </si>
  <si>
    <t>26-0212</t>
    <phoneticPr fontId="1" type="noConversion"/>
  </si>
  <si>
    <t>26-0212
(~3/13)</t>
    <phoneticPr fontId="1" type="noConversion"/>
  </si>
  <si>
    <t>58/31</t>
    <phoneticPr fontId="2" type="noConversion"/>
  </si>
  <si>
    <t>현금</t>
    <phoneticPr fontId="2" type="noConversion"/>
  </si>
  <si>
    <t>롯데패키징솔루션즈 진천
(구. 롯데알미늄 진천)</t>
    <phoneticPr fontId="1" type="noConversion"/>
  </si>
  <si>
    <t>26-0242</t>
    <phoneticPr fontId="1" type="noConversion"/>
  </si>
  <si>
    <t>26-0241
(26/3/20)</t>
    <phoneticPr fontId="1" type="noConversion"/>
  </si>
  <si>
    <t>ㅅ</t>
    <phoneticPr fontId="2" type="noConversion"/>
  </si>
  <si>
    <t>170/170</t>
    <phoneticPr fontId="1" type="noConversion"/>
  </si>
  <si>
    <t>CO 500ppm</t>
    <phoneticPr fontId="1" type="noConversion"/>
  </si>
  <si>
    <t>NO/SO2(SO2 비전송) 200/200</t>
    <phoneticPr fontId="1" type="noConversion"/>
  </si>
  <si>
    <t>CO 500ppm (비전송)</t>
    <phoneticPr fontId="1" type="noConversion"/>
  </si>
  <si>
    <t>O2 Span (비전송)</t>
    <phoneticPr fontId="1" type="noConversion"/>
  </si>
  <si>
    <t>디엑스지</t>
    <phoneticPr fontId="1" type="noConversion"/>
  </si>
  <si>
    <t>26/2/12~26/12/31</t>
    <phoneticPr fontId="2" type="noConversion"/>
  </si>
  <si>
    <t>26-0277</t>
    <phoneticPr fontId="1" type="noConversion"/>
  </si>
  <si>
    <t>26-0277</t>
    <phoneticPr fontId="1" type="noConversion"/>
  </si>
  <si>
    <t>26-0277
(~3/20)</t>
    <phoneticPr fontId="1" type="noConversion"/>
  </si>
  <si>
    <t>26-0168</t>
    <phoneticPr fontId="1" type="noConversion"/>
  </si>
  <si>
    <t>사업장 진행
(별도관리X)</t>
    <phoneticPr fontId="1" type="noConversion"/>
  </si>
  <si>
    <t>사업장진행
(일정관리X)</t>
    <phoneticPr fontId="1" type="noConversion"/>
  </si>
  <si>
    <t>4차</t>
    <phoneticPr fontId="1" type="noConversion"/>
  </si>
  <si>
    <t>4차</t>
    <phoneticPr fontId="1" type="noConversion"/>
  </si>
  <si>
    <t>#38호기 유속 5월
#18,19,36,41 26/1/22 유속계 취외+26/2/13 설치</t>
    <phoneticPr fontId="1" type="noConversion"/>
  </si>
  <si>
    <t>CO항목</t>
    <phoneticPr fontId="1" type="noConversion"/>
  </si>
  <si>
    <t>25-1148
(~26/3/20)</t>
    <phoneticPr fontId="1" type="noConversion"/>
  </si>
  <si>
    <t>가스 회수</t>
    <phoneticPr fontId="1" type="noConversion"/>
  </si>
  <si>
    <t>26-0258</t>
    <phoneticPr fontId="1" type="noConversion"/>
  </si>
  <si>
    <t>26-0258</t>
    <phoneticPr fontId="1" type="noConversion"/>
  </si>
  <si>
    <t>26-0298
(~3/20)</t>
    <phoneticPr fontId="1" type="noConversion"/>
  </si>
  <si>
    <t>LS전선</t>
    <phoneticPr fontId="1" type="noConversion"/>
  </si>
  <si>
    <t>OCI포항</t>
    <phoneticPr fontId="1" type="noConversion"/>
  </si>
  <si>
    <t>KEP
(한국엔지니어링플라스틱)</t>
    <phoneticPr fontId="1" type="noConversion"/>
  </si>
  <si>
    <t>금강공업 (음성)</t>
    <phoneticPr fontId="1" type="noConversion"/>
  </si>
  <si>
    <t>금산군 소각장
(대경에스코)</t>
    <phoneticPr fontId="1" type="noConversion"/>
  </si>
  <si>
    <t>어프로티움 울산제2공장</t>
    <phoneticPr fontId="1" type="noConversion"/>
  </si>
  <si>
    <t>동양환경</t>
    <phoneticPr fontId="1" type="noConversion"/>
  </si>
  <si>
    <t>동우화인켐</t>
    <phoneticPr fontId="1" type="noConversion"/>
  </si>
  <si>
    <t>동일산업</t>
    <phoneticPr fontId="1" type="noConversion"/>
  </si>
  <si>
    <t>동일제강</t>
    <phoneticPr fontId="1" type="noConversion"/>
  </si>
  <si>
    <t>부국산업</t>
    <phoneticPr fontId="1" type="noConversion"/>
  </si>
  <si>
    <t>삼양사 인천 1공장</t>
    <phoneticPr fontId="1" type="noConversion"/>
  </si>
  <si>
    <t>배터리솔루션즈
(구.세기리텍)</t>
    <phoneticPr fontId="1" type="noConversion"/>
  </si>
  <si>
    <t>일진전기</t>
    <phoneticPr fontId="1" type="noConversion"/>
  </si>
  <si>
    <t>전북대학교병원</t>
    <phoneticPr fontId="1" type="noConversion"/>
  </si>
  <si>
    <t>한솔제지 대전</t>
    <phoneticPr fontId="1" type="noConversion"/>
  </si>
  <si>
    <t>한솔제지 천안</t>
    <phoneticPr fontId="1" type="noConversion"/>
  </si>
  <si>
    <t>현대성우캐스팅</t>
    <phoneticPr fontId="1" type="noConversion"/>
  </si>
  <si>
    <t>디알액시온 원산</t>
    <phoneticPr fontId="1" type="noConversion"/>
  </si>
  <si>
    <t>태평양금속 (구미)</t>
    <phoneticPr fontId="1" type="noConversion"/>
  </si>
  <si>
    <t>디에스우일바이오</t>
    <phoneticPr fontId="1" type="noConversion"/>
  </si>
  <si>
    <t>GS EPS
(SCR 제외)</t>
    <phoneticPr fontId="1" type="noConversion"/>
  </si>
  <si>
    <t>브이피에이치메탈</t>
    <phoneticPr fontId="1" type="noConversion"/>
  </si>
  <si>
    <t>명화공업(CPC)</t>
    <phoneticPr fontId="1" type="noConversion"/>
  </si>
  <si>
    <t>WTC</t>
    <phoneticPr fontId="1" type="noConversion"/>
  </si>
  <si>
    <t>동희오토 서산공장</t>
    <phoneticPr fontId="1" type="noConversion"/>
  </si>
  <si>
    <t>성합
(삼보산업 서산)</t>
    <phoneticPr fontId="1" type="noConversion"/>
  </si>
  <si>
    <t>삼보산업 창원</t>
    <phoneticPr fontId="1" type="noConversion"/>
  </si>
  <si>
    <t>삼현</t>
    <phoneticPr fontId="1" type="noConversion"/>
  </si>
  <si>
    <t>성훈엔지니어링</t>
    <phoneticPr fontId="1" type="noConversion"/>
  </si>
  <si>
    <t>현성세라믹</t>
    <phoneticPr fontId="1" type="noConversion"/>
  </si>
  <si>
    <t>휴스틸</t>
    <phoneticPr fontId="1" type="noConversion"/>
  </si>
  <si>
    <t>영화금속</t>
    <phoneticPr fontId="1" type="noConversion"/>
  </si>
  <si>
    <t>롯데패키징솔루션즈 평택
(구. 롯데알미늄 평택)</t>
    <phoneticPr fontId="1" type="noConversion"/>
  </si>
  <si>
    <t>이구산업</t>
    <phoneticPr fontId="1" type="noConversion"/>
  </si>
  <si>
    <t>AMMK
(구.한국타코닉)</t>
    <phoneticPr fontId="1" type="noConversion"/>
  </si>
  <si>
    <t>울산 GPS</t>
    <phoneticPr fontId="1" type="noConversion"/>
  </si>
  <si>
    <t>한국가스공사 창원수소</t>
    <phoneticPr fontId="1" type="noConversion"/>
  </si>
  <si>
    <t>26-0307</t>
    <phoneticPr fontId="1" type="noConversion"/>
  </si>
  <si>
    <t>26-0307</t>
    <phoneticPr fontId="1" type="noConversion"/>
  </si>
  <si>
    <t>26-0313</t>
    <phoneticPr fontId="1" type="noConversion"/>
  </si>
  <si>
    <t>26-0313</t>
    <phoneticPr fontId="1" type="noConversion"/>
  </si>
  <si>
    <t>26-0313
(~3/24)</t>
    <phoneticPr fontId="1" type="noConversion"/>
  </si>
  <si>
    <t>26-0315</t>
    <phoneticPr fontId="1" type="noConversion"/>
  </si>
  <si>
    <t>26-0315
(~3/24)</t>
    <phoneticPr fontId="1" type="noConversion"/>
  </si>
  <si>
    <t>26.03.04_부착면제 예정으로 정도검사 홀딩…</t>
    <phoneticPr fontId="1" type="noConversion"/>
  </si>
  <si>
    <t>26-0203</t>
    <phoneticPr fontId="1" type="noConversion"/>
  </si>
  <si>
    <t>클린코리아 경주</t>
    <phoneticPr fontId="1" type="noConversion"/>
  </si>
  <si>
    <t>26.03.04_O2 sensor 반응속도 느림? 25년 11월 정도검사 후 운영으로 유상청구는 어려운 ??</t>
    <phoneticPr fontId="1" type="noConversion"/>
  </si>
  <si>
    <t>계약 후 이진호 과장님(현업) 앞으로 완료됐음 공유 필요
(그래야 구매요청하신다고 함)</t>
    <phoneticPr fontId="1" type="noConversion"/>
  </si>
  <si>
    <t>26년 12월 중 연장 작업 필요</t>
    <phoneticPr fontId="1" type="noConversion"/>
  </si>
  <si>
    <t>무림에스피 대구공장
(계약서는 28.01.31, 발주서 수정 필요)</t>
    <phoneticPr fontId="1" type="noConversion"/>
  </si>
  <si>
    <t>3% 인상가능하나… 5만원 이상으로 맞춰보겠다고 함 허나</t>
    <phoneticPr fontId="1" type="noConversion"/>
  </si>
  <si>
    <t>26-0168
(도착완료)</t>
    <phoneticPr fontId="1" type="noConversion"/>
  </si>
  <si>
    <t>ㅎ</t>
    <phoneticPr fontId="2" type="noConversion"/>
  </si>
  <si>
    <t>ㅇ</t>
    <phoneticPr fontId="2" type="noConversion"/>
  </si>
  <si>
    <t>어프로티움 울산제3공장
(덕양케미칼(1공장))</t>
    <phoneticPr fontId="1" type="noConversion"/>
  </si>
  <si>
    <t>수원하수슬러지 처리시설</t>
    <phoneticPr fontId="1" type="noConversion"/>
  </si>
  <si>
    <t>삼일씨엔에스</t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</si>
  <si>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NO</t>
    </r>
    <r>
      <rPr>
        <sz val="10"/>
        <color theme="1"/>
        <rFont val="맑은 고딕"/>
        <family val="3"/>
        <charset val="129"/>
        <scheme val="minor"/>
      </rPr>
      <t>/SO2 500/500ppm</t>
    </r>
    <phoneticPr fontId="1" type="noConversion"/>
  </si>
  <si>
    <t>10월 예산미반영으로 동결</t>
    <phoneticPr fontId="1" type="noConversion"/>
  </si>
  <si>
    <t>NOx,SO2,CO</t>
    <phoneticPr fontId="1" type="noConversion"/>
  </si>
  <si>
    <t>NO Zero</t>
    <phoneticPr fontId="1" type="noConversion"/>
  </si>
  <si>
    <t>N2</t>
    <phoneticPr fontId="1" type="noConversion"/>
  </si>
  <si>
    <t>O2 25%</t>
    <phoneticPr fontId="1" type="noConversion"/>
  </si>
  <si>
    <t>O2 25%</t>
    <phoneticPr fontId="1" type="noConversion"/>
  </si>
  <si>
    <t>영남</t>
    <phoneticPr fontId="1" type="noConversion"/>
  </si>
  <si>
    <t>월2회</t>
    <phoneticPr fontId="1" type="noConversion"/>
  </si>
  <si>
    <t>26-0343</t>
    <phoneticPr fontId="1" type="noConversion"/>
  </si>
  <si>
    <t>26-0343
(~3/27)</t>
    <phoneticPr fontId="1" type="noConversion"/>
  </si>
  <si>
    <t>Tar
(#2)</t>
    <phoneticPr fontId="1" type="noConversion"/>
  </si>
  <si>
    <t>Tar
(#3)</t>
    <phoneticPr fontId="1" type="noConversion"/>
  </si>
  <si>
    <t>카본
(#28)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</si>
</sst>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mm&quot;월&quot;\ dd&quot;일&quot;"/>
    <numFmt numFmtId="177" formatCode="#,##0_ "/>
    <numFmt numFmtId="178" formatCode="yy&quot;-&quot;mm&quot;-&quot;dd;@"/>
    <numFmt numFmtId="179" formatCode="General&quot;ppm&quot;"/>
    <numFmt numFmtId="180" formatCode="@&quot;ppm&quot;"/>
    <numFmt numFmtId="181" formatCode="m&quot;/&quot;d;@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8"/>
      <color rgb="FF0000CC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C6FE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</patternFill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ashed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ashed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ashed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auto="1"/>
      </top>
      <bottom style="dashed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auto="1"/>
      </top>
      <bottom style="dotted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auto="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tted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auto="1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auto="1"/>
      </top>
      <bottom style="thin">
        <color theme="0" tint="-0.349986266670735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 style="thin">
        <color theme="0" tint="-0.34998626667073579"/>
      </diagonal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 style="thin">
        <color theme="0" tint="-0.34998626667073579"/>
      </diagonal>
    </border>
    <border diagonalUp="1" diagonalDown="1">
      <left style="thin">
        <color theme="0" tint="-0.34998626667073579"/>
      </left>
      <right style="thin">
        <color theme="0" tint="-0.34998626667073579"/>
      </right>
      <top/>
      <bottom/>
      <diagonal style="thin">
        <color theme="0" tint="-0.34998626667073579"/>
      </diagonal>
    </border>
    <border diagonalUp="1" diagonalDown="1"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 style="thin">
        <color theme="0" tint="-0.34998626667073579"/>
      </diagonal>
    </border>
    <border>
      <left style="thin">
        <color theme="0" tint="-0.34998626667073579"/>
      </left>
      <right style="thin">
        <color theme="0" tint="-0.34998626667073579"/>
      </right>
      <top/>
      <bottom style="dashed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</borders>
  <cellStyleXfs count="6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" fillId="14" borderId="66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1246">
    <xf numFmtId="0" fontId="0" fillId="0" borderId="0" xfId="0">
      <alignment vertical="center"/>
    </xf>
    <xf numFmtId="0" fontId="5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6" xfId="0" applyFont="1" applyFill="1" applyBorder="1">
      <alignment vertical="center"/>
    </xf>
    <xf numFmtId="0" fontId="7" fillId="0" borderId="6" xfId="0" applyFont="1" applyFill="1" applyBorder="1" applyAlignment="1">
      <alignment horizontal="center" vertical="center"/>
    </xf>
    <xf numFmtId="9" fontId="7" fillId="0" borderId="6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8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0" borderId="2" xfId="0" applyFont="1" applyFill="1" applyBorder="1">
      <alignment vertical="center"/>
    </xf>
    <xf numFmtId="0" fontId="7" fillId="0" borderId="2" xfId="0" applyFont="1" applyFill="1" applyBorder="1" applyAlignment="1">
      <alignment horizontal="center" vertical="center"/>
    </xf>
    <xf numFmtId="9" fontId="7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11" xfId="0" applyFont="1" applyFill="1" applyBorder="1">
      <alignment vertical="center"/>
    </xf>
    <xf numFmtId="0" fontId="7" fillId="0" borderId="11" xfId="0" applyFont="1" applyFill="1" applyBorder="1" applyAlignment="1">
      <alignment horizontal="center" vertical="center"/>
    </xf>
    <xf numFmtId="9" fontId="7" fillId="0" borderId="11" xfId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left" vertical="center" wrapText="1"/>
    </xf>
    <xf numFmtId="9" fontId="7" fillId="0" borderId="11" xfId="1" applyFont="1" applyFill="1" applyBorder="1" applyAlignment="1">
      <alignment horizontal="center" vertical="center" wrapText="1"/>
    </xf>
    <xf numFmtId="176" fontId="8" fillId="0" borderId="0" xfId="0" applyNumberFormat="1" applyFont="1" applyFill="1">
      <alignment vertical="center"/>
    </xf>
    <xf numFmtId="0" fontId="7" fillId="0" borderId="11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14" fontId="10" fillId="0" borderId="6" xfId="0" applyNumberFormat="1" applyFont="1" applyFill="1" applyBorder="1" applyAlignment="1">
      <alignment horizontal="center" vertical="center"/>
    </xf>
    <xf numFmtId="9" fontId="10" fillId="0" borderId="6" xfId="1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/>
    </xf>
    <xf numFmtId="9" fontId="10" fillId="0" borderId="2" xfId="1" applyFont="1" applyFill="1" applyBorder="1" applyAlignment="1">
      <alignment horizontal="center" vertical="center"/>
    </xf>
    <xf numFmtId="14" fontId="10" fillId="0" borderId="11" xfId="0" applyNumberFormat="1" applyFont="1" applyFill="1" applyBorder="1" applyAlignment="1">
      <alignment horizontal="center" vertical="center"/>
    </xf>
    <xf numFmtId="9" fontId="10" fillId="0" borderId="11" xfId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 wrapText="1"/>
    </xf>
    <xf numFmtId="9" fontId="7" fillId="0" borderId="3" xfId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 wrapText="1"/>
    </xf>
    <xf numFmtId="9" fontId="7" fillId="0" borderId="4" xfId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9" fontId="11" fillId="0" borderId="6" xfId="1" applyFont="1" applyFill="1" applyBorder="1" applyAlignment="1">
      <alignment horizontal="center" vertical="center"/>
    </xf>
    <xf numFmtId="9" fontId="11" fillId="0" borderId="11" xfId="1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9" fontId="7" fillId="0" borderId="4" xfId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9" fontId="7" fillId="0" borderId="2" xfId="1" applyFont="1" applyBorder="1" applyAlignment="1">
      <alignment horizontal="center" vertical="center"/>
    </xf>
    <xf numFmtId="177" fontId="5" fillId="0" borderId="0" xfId="0" applyNumberFormat="1" applyFont="1" applyBorder="1">
      <alignment vertical="center"/>
    </xf>
    <xf numFmtId="177" fontId="7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13" xfId="0" applyFont="1" applyFill="1" applyBorder="1" applyAlignment="1">
      <alignment vertical="center" wrapText="1"/>
    </xf>
    <xf numFmtId="9" fontId="7" fillId="0" borderId="13" xfId="1" applyFont="1" applyFill="1" applyBorder="1" applyAlignment="1">
      <alignment horizontal="center" vertical="center"/>
    </xf>
    <xf numFmtId="178" fontId="8" fillId="0" borderId="6" xfId="0" applyNumberFormat="1" applyFont="1" applyFill="1" applyBorder="1" applyAlignment="1">
      <alignment horizontal="center" vertical="center"/>
    </xf>
    <xf numFmtId="178" fontId="8" fillId="0" borderId="7" xfId="0" applyNumberFormat="1" applyFont="1" applyFill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center" vertical="center"/>
    </xf>
    <xf numFmtId="178" fontId="8" fillId="0" borderId="9" xfId="0" applyNumberFormat="1" applyFont="1" applyFill="1" applyBorder="1" applyAlignment="1">
      <alignment horizontal="center" vertical="center"/>
    </xf>
    <xf numFmtId="178" fontId="8" fillId="0" borderId="11" xfId="0" applyNumberFormat="1" applyFont="1" applyFill="1" applyBorder="1" applyAlignment="1">
      <alignment horizontal="center" vertical="center"/>
    </xf>
    <xf numFmtId="178" fontId="8" fillId="0" borderId="12" xfId="0" applyNumberFormat="1" applyFont="1" applyFill="1" applyBorder="1" applyAlignment="1">
      <alignment horizontal="center" vertical="center"/>
    </xf>
    <xf numFmtId="178" fontId="8" fillId="0" borderId="3" xfId="0" applyNumberFormat="1" applyFont="1" applyFill="1" applyBorder="1" applyAlignment="1">
      <alignment horizontal="center" vertical="center"/>
    </xf>
    <xf numFmtId="178" fontId="8" fillId="0" borderId="14" xfId="0" applyNumberFormat="1" applyFont="1" applyFill="1" applyBorder="1" applyAlignment="1">
      <alignment horizontal="center" vertical="center"/>
    </xf>
    <xf numFmtId="178" fontId="8" fillId="0" borderId="4" xfId="0" applyNumberFormat="1" applyFont="1" applyFill="1" applyBorder="1" applyAlignment="1">
      <alignment horizontal="center" vertical="center"/>
    </xf>
    <xf numFmtId="178" fontId="8" fillId="0" borderId="15" xfId="0" applyNumberFormat="1" applyFont="1" applyFill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78" fontId="8" fillId="0" borderId="11" xfId="0" applyNumberFormat="1" applyFont="1" applyBorder="1" applyAlignment="1">
      <alignment horizontal="center" vertical="center"/>
    </xf>
    <xf numFmtId="0" fontId="7" fillId="0" borderId="3" xfId="0" applyFont="1" applyFill="1" applyBorder="1">
      <alignment vertical="center"/>
    </xf>
    <xf numFmtId="0" fontId="10" fillId="0" borderId="0" xfId="0" applyFont="1" applyFill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78" fontId="8" fillId="0" borderId="20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178" fontId="8" fillId="0" borderId="25" xfId="0" applyNumberFormat="1" applyFont="1" applyFill="1" applyBorder="1" applyAlignment="1">
      <alignment horizontal="center" vertical="center"/>
    </xf>
    <xf numFmtId="178" fontId="8" fillId="0" borderId="26" xfId="0" applyNumberFormat="1" applyFont="1" applyFill="1" applyBorder="1" applyAlignment="1">
      <alignment horizontal="center" vertical="center"/>
    </xf>
    <xf numFmtId="178" fontId="8" fillId="0" borderId="27" xfId="0" applyNumberFormat="1" applyFont="1" applyFill="1" applyBorder="1" applyAlignment="1">
      <alignment horizontal="center" vertical="center"/>
    </xf>
    <xf numFmtId="178" fontId="8" fillId="0" borderId="28" xfId="0" applyNumberFormat="1" applyFont="1" applyFill="1" applyBorder="1" applyAlignment="1">
      <alignment horizontal="center" vertical="center"/>
    </xf>
    <xf numFmtId="178" fontId="8" fillId="0" borderId="29" xfId="0" applyNumberFormat="1" applyFont="1" applyFill="1" applyBorder="1" applyAlignment="1">
      <alignment horizontal="center" vertical="center"/>
    </xf>
    <xf numFmtId="178" fontId="8" fillId="0" borderId="30" xfId="0" applyNumberFormat="1" applyFont="1" applyFill="1" applyBorder="1" applyAlignment="1">
      <alignment horizontal="center" vertical="center"/>
    </xf>
    <xf numFmtId="178" fontId="8" fillId="0" borderId="26" xfId="0" applyNumberFormat="1" applyFont="1" applyBorder="1" applyAlignment="1">
      <alignment horizontal="center" vertical="center"/>
    </xf>
    <xf numFmtId="178" fontId="8" fillId="0" borderId="27" xfId="0" applyNumberFormat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4" xfId="0" applyFont="1" applyFill="1" applyBorder="1">
      <alignment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9" borderId="40" xfId="0" applyFont="1" applyFill="1" applyBorder="1" applyAlignment="1">
      <alignment horizontal="center" vertical="center" wrapText="1"/>
    </xf>
    <xf numFmtId="177" fontId="6" fillId="9" borderId="41" xfId="0" applyNumberFormat="1" applyFont="1" applyFill="1" applyBorder="1" applyAlignment="1">
      <alignment horizontal="center" vertical="center" wrapText="1"/>
    </xf>
    <xf numFmtId="0" fontId="6" fillId="9" borderId="41" xfId="0" applyFont="1" applyFill="1" applyBorder="1" applyAlignment="1">
      <alignment horizontal="center" vertical="center" wrapText="1"/>
    </xf>
    <xf numFmtId="0" fontId="6" fillId="9" borderId="42" xfId="0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9" fontId="11" fillId="0" borderId="2" xfId="1" applyFont="1" applyFill="1" applyBorder="1" applyAlignment="1">
      <alignment horizontal="center" vertical="center"/>
    </xf>
    <xf numFmtId="178" fontId="8" fillId="10" borderId="26" xfId="0" applyNumberFormat="1" applyFont="1" applyFill="1" applyBorder="1" applyAlignment="1">
      <alignment horizontal="center" vertical="center"/>
    </xf>
    <xf numFmtId="178" fontId="8" fillId="10" borderId="9" xfId="0" applyNumberFormat="1" applyFont="1" applyFill="1" applyBorder="1" applyAlignment="1">
      <alignment horizontal="center" vertical="center"/>
    </xf>
    <xf numFmtId="178" fontId="8" fillId="10" borderId="27" xfId="0" applyNumberFormat="1" applyFont="1" applyFill="1" applyBorder="1" applyAlignment="1">
      <alignment horizontal="center" vertical="center"/>
    </xf>
    <xf numFmtId="178" fontId="8" fillId="10" borderId="12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 wrapText="1"/>
    </xf>
    <xf numFmtId="14" fontId="11" fillId="0" borderId="6" xfId="0" applyNumberFormat="1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/>
    </xf>
    <xf numFmtId="14" fontId="11" fillId="0" borderId="11" xfId="0" applyNumberFormat="1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9" fontId="7" fillId="0" borderId="22" xfId="1" applyFont="1" applyFill="1" applyBorder="1" applyAlignment="1">
      <alignment horizontal="center" vertical="center"/>
    </xf>
    <xf numFmtId="178" fontId="8" fillId="0" borderId="48" xfId="0" applyNumberFormat="1" applyFont="1" applyFill="1" applyBorder="1" applyAlignment="1">
      <alignment horizontal="center" vertical="center"/>
    </xf>
    <xf numFmtId="178" fontId="8" fillId="0" borderId="49" xfId="0" applyNumberFormat="1" applyFont="1" applyFill="1" applyBorder="1" applyAlignment="1">
      <alignment horizontal="center" vertical="center"/>
    </xf>
    <xf numFmtId="178" fontId="8" fillId="0" borderId="22" xfId="0" applyNumberFormat="1" applyFont="1" applyFill="1" applyBorder="1" applyAlignment="1">
      <alignment horizontal="center" vertical="center"/>
    </xf>
    <xf numFmtId="178" fontId="8" fillId="0" borderId="47" xfId="0" applyNumberFormat="1" applyFont="1" applyFill="1" applyBorder="1" applyAlignment="1">
      <alignment horizontal="center" vertical="center"/>
    </xf>
    <xf numFmtId="178" fontId="8" fillId="0" borderId="50" xfId="0" applyNumberFormat="1" applyFont="1" applyFill="1" applyBorder="1" applyAlignment="1">
      <alignment horizontal="center" vertical="center"/>
    </xf>
    <xf numFmtId="0" fontId="7" fillId="0" borderId="22" xfId="0" applyFont="1" applyFill="1" applyBorder="1">
      <alignment vertical="center"/>
    </xf>
    <xf numFmtId="14" fontId="7" fillId="0" borderId="6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9" fontId="7" fillId="0" borderId="6" xfId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9" fontId="7" fillId="0" borderId="22" xfId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9" fontId="7" fillId="0" borderId="11" xfId="1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178" fontId="8" fillId="0" borderId="6" xfId="0" applyNumberFormat="1" applyFont="1" applyBorder="1" applyAlignment="1">
      <alignment horizontal="center" vertical="center"/>
    </xf>
    <xf numFmtId="176" fontId="7" fillId="0" borderId="2" xfId="0" applyNumberFormat="1" applyFont="1" applyFill="1" applyBorder="1">
      <alignment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9" fontId="7" fillId="0" borderId="4" xfId="1" applyFont="1" applyFill="1" applyBorder="1" applyAlignment="1">
      <alignment horizontal="center" vertical="center" wrapText="1"/>
    </xf>
    <xf numFmtId="14" fontId="10" fillId="0" borderId="4" xfId="0" applyNumberFormat="1" applyFont="1" applyFill="1" applyBorder="1" applyAlignment="1">
      <alignment horizontal="center" vertical="center"/>
    </xf>
    <xf numFmtId="9" fontId="10" fillId="0" borderId="4" xfId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vertical="center" wrapText="1"/>
    </xf>
    <xf numFmtId="0" fontId="7" fillId="0" borderId="51" xfId="0" applyFont="1" applyFill="1" applyBorder="1">
      <alignment vertical="center"/>
    </xf>
    <xf numFmtId="0" fontId="7" fillId="0" borderId="51" xfId="0" applyFont="1" applyFill="1" applyBorder="1" applyAlignment="1">
      <alignment horizontal="center" vertical="center"/>
    </xf>
    <xf numFmtId="14" fontId="7" fillId="0" borderId="51" xfId="0" applyNumberFormat="1" applyFont="1" applyFill="1" applyBorder="1" applyAlignment="1">
      <alignment horizontal="center" vertical="center"/>
    </xf>
    <xf numFmtId="9" fontId="7" fillId="0" borderId="51" xfId="1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vertical="center" wrapText="1"/>
    </xf>
    <xf numFmtId="0" fontId="7" fillId="0" borderId="52" xfId="0" applyFont="1" applyFill="1" applyBorder="1" applyAlignment="1">
      <alignment horizontal="center" vertical="center"/>
    </xf>
    <xf numFmtId="0" fontId="7" fillId="0" borderId="52" xfId="0" applyFont="1" applyFill="1" applyBorder="1" applyAlignment="1">
      <alignment horizontal="left" vertical="center" wrapText="1"/>
    </xf>
    <xf numFmtId="0" fontId="7" fillId="0" borderId="52" xfId="0" applyFont="1" applyFill="1" applyBorder="1" applyAlignment="1">
      <alignment horizontal="center" vertical="center" wrapText="1"/>
    </xf>
    <xf numFmtId="14" fontId="7" fillId="0" borderId="52" xfId="0" applyNumberFormat="1" applyFont="1" applyFill="1" applyBorder="1" applyAlignment="1">
      <alignment horizontal="center" vertical="center" wrapText="1"/>
    </xf>
    <xf numFmtId="9" fontId="7" fillId="0" borderId="52" xfId="1" applyFont="1" applyFill="1" applyBorder="1" applyAlignment="1">
      <alignment horizontal="center" vertical="center" wrapText="1"/>
    </xf>
    <xf numFmtId="0" fontId="7" fillId="0" borderId="53" xfId="0" applyFont="1" applyFill="1" applyBorder="1">
      <alignment vertical="center"/>
    </xf>
    <xf numFmtId="0" fontId="7" fillId="0" borderId="53" xfId="0" applyFont="1" applyFill="1" applyBorder="1" applyAlignment="1">
      <alignment horizontal="center" vertical="center"/>
    </xf>
    <xf numFmtId="14" fontId="7" fillId="0" borderId="53" xfId="0" applyNumberFormat="1" applyFont="1" applyFill="1" applyBorder="1" applyAlignment="1">
      <alignment horizontal="center" vertical="center"/>
    </xf>
    <xf numFmtId="9" fontId="7" fillId="0" borderId="53" xfId="1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vertical="center" wrapText="1"/>
    </xf>
    <xf numFmtId="0" fontId="7" fillId="0" borderId="55" xfId="0" applyFont="1" applyFill="1" applyBorder="1" applyAlignment="1">
      <alignment horizontal="center" vertical="center"/>
    </xf>
    <xf numFmtId="14" fontId="7" fillId="0" borderId="55" xfId="0" applyNumberFormat="1" applyFont="1" applyFill="1" applyBorder="1" applyAlignment="1">
      <alignment horizontal="center" vertical="center"/>
    </xf>
    <xf numFmtId="9" fontId="7" fillId="0" borderId="55" xfId="1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vertical="center" wrapText="1"/>
    </xf>
    <xf numFmtId="0" fontId="10" fillId="0" borderId="51" xfId="0" applyFont="1" applyFill="1" applyBorder="1" applyAlignment="1">
      <alignment horizontal="center" vertical="center"/>
    </xf>
    <xf numFmtId="14" fontId="10" fillId="0" borderId="51" xfId="0" applyNumberFormat="1" applyFont="1" applyFill="1" applyBorder="1" applyAlignment="1">
      <alignment horizontal="center" vertical="center"/>
    </xf>
    <xf numFmtId="9" fontId="10" fillId="0" borderId="51" xfId="1" applyFont="1" applyFill="1" applyBorder="1" applyAlignment="1">
      <alignment horizontal="center" vertical="center"/>
    </xf>
    <xf numFmtId="0" fontId="7" fillId="0" borderId="55" xfId="0" applyFont="1" applyFill="1" applyBorder="1">
      <alignment vertical="center"/>
    </xf>
    <xf numFmtId="14" fontId="7" fillId="0" borderId="52" xfId="0" applyNumberFormat="1" applyFont="1" applyFill="1" applyBorder="1" applyAlignment="1">
      <alignment horizontal="center" vertical="center"/>
    </xf>
    <xf numFmtId="9" fontId="7" fillId="0" borderId="52" xfId="1" applyFont="1" applyFill="1" applyBorder="1" applyAlignment="1">
      <alignment horizontal="center" vertical="center"/>
    </xf>
    <xf numFmtId="9" fontId="5" fillId="6" borderId="4" xfId="2" applyNumberFormat="1" applyFont="1" applyFill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9" fontId="7" fillId="0" borderId="16" xfId="1" applyFont="1" applyBorder="1" applyAlignment="1">
      <alignment horizontal="center" vertical="center"/>
    </xf>
    <xf numFmtId="178" fontId="8" fillId="0" borderId="16" xfId="0" applyNumberFormat="1" applyFont="1" applyBorder="1" applyAlignment="1">
      <alignment horizontal="center" vertical="center"/>
    </xf>
    <xf numFmtId="0" fontId="7" fillId="0" borderId="52" xfId="0" applyNumberFormat="1" applyFont="1" applyFill="1" applyBorder="1" applyAlignment="1">
      <alignment horizontal="left" vertical="center" wrapText="1"/>
    </xf>
    <xf numFmtId="0" fontId="7" fillId="0" borderId="4" xfId="0" applyNumberFormat="1" applyFont="1" applyFill="1" applyBorder="1" applyAlignment="1">
      <alignment horizontal="left" vertical="center" wrapText="1"/>
    </xf>
    <xf numFmtId="0" fontId="7" fillId="0" borderId="11" xfId="0" applyNumberFormat="1" applyFont="1" applyFill="1" applyBorder="1" applyAlignment="1">
      <alignment horizontal="left" vertical="center" wrapText="1"/>
    </xf>
    <xf numFmtId="0" fontId="7" fillId="0" borderId="6" xfId="0" applyNumberFormat="1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horizontal="left" vertical="center"/>
    </xf>
    <xf numFmtId="0" fontId="7" fillId="0" borderId="4" xfId="0" applyNumberFormat="1" applyFont="1" applyFill="1" applyBorder="1" applyAlignment="1">
      <alignment horizontal="left" vertical="center"/>
    </xf>
    <xf numFmtId="0" fontId="7" fillId="0" borderId="11" xfId="0" applyNumberFormat="1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horizontal="left" vertical="center" wrapText="1"/>
    </xf>
    <xf numFmtId="0" fontId="7" fillId="0" borderId="51" xfId="0" applyNumberFormat="1" applyFont="1" applyFill="1" applyBorder="1" applyAlignment="1">
      <alignment horizontal="left" vertical="center" wrapText="1"/>
    </xf>
    <xf numFmtId="0" fontId="7" fillId="6" borderId="6" xfId="0" applyNumberFormat="1" applyFont="1" applyFill="1" applyBorder="1" applyAlignment="1">
      <alignment horizontal="left" vertical="center" wrapText="1"/>
    </xf>
    <xf numFmtId="0" fontId="7" fillId="6" borderId="4" xfId="0" applyNumberFormat="1" applyFont="1" applyFill="1" applyBorder="1" applyAlignment="1">
      <alignment horizontal="left" vertical="center" wrapText="1"/>
    </xf>
    <xf numFmtId="0" fontId="7" fillId="0" borderId="22" xfId="0" applyNumberFormat="1" applyFont="1" applyFill="1" applyBorder="1" applyAlignment="1">
      <alignment horizontal="left" vertical="center"/>
    </xf>
    <xf numFmtId="0" fontId="7" fillId="0" borderId="6" xfId="0" applyNumberFormat="1" applyFont="1" applyFill="1" applyBorder="1" applyAlignment="1">
      <alignment horizontal="left" vertical="center" wrapText="1"/>
    </xf>
    <xf numFmtId="0" fontId="7" fillId="0" borderId="55" xfId="0" applyNumberFormat="1" applyFont="1" applyFill="1" applyBorder="1" applyAlignment="1">
      <alignment horizontal="left" vertical="center" wrapText="1"/>
    </xf>
    <xf numFmtId="0" fontId="10" fillId="0" borderId="6" xfId="0" applyNumberFormat="1" applyFont="1" applyFill="1" applyBorder="1" applyAlignment="1">
      <alignment horizontal="left" vertical="center"/>
    </xf>
    <xf numFmtId="0" fontId="10" fillId="0" borderId="4" xfId="0" applyNumberFormat="1" applyFont="1" applyFill="1" applyBorder="1" applyAlignment="1">
      <alignment horizontal="left" vertical="center"/>
    </xf>
    <xf numFmtId="0" fontId="7" fillId="0" borderId="13" xfId="0" applyNumberFormat="1" applyFont="1" applyFill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horizontal="left" vertical="center"/>
    </xf>
    <xf numFmtId="0" fontId="7" fillId="0" borderId="55" xfId="0" applyNumberFormat="1" applyFont="1" applyFill="1" applyBorder="1" applyAlignment="1">
      <alignment horizontal="left" vertical="center"/>
    </xf>
    <xf numFmtId="0" fontId="7" fillId="0" borderId="3" xfId="0" applyNumberFormat="1" applyFont="1" applyFill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left" vertical="center"/>
    </xf>
    <xf numFmtId="10" fontId="7" fillId="0" borderId="2" xfId="0" applyNumberFormat="1" applyFont="1" applyFill="1" applyBorder="1" applyAlignment="1">
      <alignment horizontal="left" vertical="center"/>
    </xf>
    <xf numFmtId="10" fontId="7" fillId="0" borderId="51" xfId="0" applyNumberFormat="1" applyFont="1" applyFill="1" applyBorder="1" applyAlignment="1">
      <alignment horizontal="left" vertical="center"/>
    </xf>
    <xf numFmtId="179" fontId="7" fillId="0" borderId="6" xfId="0" applyNumberFormat="1" applyFont="1" applyFill="1" applyBorder="1" applyAlignment="1">
      <alignment horizontal="left" vertical="center"/>
    </xf>
    <xf numFmtId="179" fontId="7" fillId="0" borderId="4" xfId="0" applyNumberFormat="1" applyFont="1" applyFill="1" applyBorder="1" applyAlignment="1">
      <alignment horizontal="left" vertical="center"/>
    </xf>
    <xf numFmtId="10" fontId="7" fillId="0" borderId="11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 wrapText="1"/>
    </xf>
    <xf numFmtId="179" fontId="7" fillId="0" borderId="51" xfId="0" applyNumberFormat="1" applyFont="1" applyFill="1" applyBorder="1" applyAlignment="1">
      <alignment horizontal="left" vertical="center" wrapText="1"/>
    </xf>
    <xf numFmtId="179" fontId="7" fillId="0" borderId="55" xfId="0" applyNumberFormat="1" applyFont="1" applyFill="1" applyBorder="1" applyAlignment="1">
      <alignment horizontal="left" vertical="center" wrapText="1"/>
    </xf>
    <xf numFmtId="179" fontId="7" fillId="0" borderId="11" xfId="0" applyNumberFormat="1" applyFont="1" applyFill="1" applyBorder="1" applyAlignment="1">
      <alignment horizontal="left" vertical="center" wrapText="1"/>
    </xf>
    <xf numFmtId="180" fontId="7" fillId="0" borderId="11" xfId="0" applyNumberFormat="1" applyFont="1" applyFill="1" applyBorder="1" applyAlignment="1">
      <alignment horizontal="left" vertical="center"/>
    </xf>
    <xf numFmtId="180" fontId="7" fillId="0" borderId="2" xfId="0" applyNumberFormat="1" applyFont="1" applyFill="1" applyBorder="1" applyAlignment="1">
      <alignment horizontal="left" vertical="center"/>
    </xf>
    <xf numFmtId="10" fontId="7" fillId="0" borderId="3" xfId="0" applyNumberFormat="1" applyFont="1" applyFill="1" applyBorder="1" applyAlignment="1">
      <alignment horizontal="left" vertical="center"/>
    </xf>
    <xf numFmtId="180" fontId="7" fillId="0" borderId="51" xfId="0" applyNumberFormat="1" applyFont="1" applyFill="1" applyBorder="1" applyAlignment="1">
      <alignment horizontal="left" vertical="center"/>
    </xf>
    <xf numFmtId="0" fontId="7" fillId="6" borderId="55" xfId="0" applyNumberFormat="1" applyFont="1" applyFill="1" applyBorder="1" applyAlignment="1">
      <alignment horizontal="left" vertical="center" wrapText="1"/>
    </xf>
    <xf numFmtId="14" fontId="10" fillId="0" borderId="55" xfId="0" applyNumberFormat="1" applyFont="1" applyFill="1" applyBorder="1" applyAlignment="1">
      <alignment horizontal="center" vertical="center"/>
    </xf>
    <xf numFmtId="180" fontId="7" fillId="0" borderId="55" xfId="0" applyNumberFormat="1" applyFont="1" applyFill="1" applyBorder="1" applyAlignment="1">
      <alignment horizontal="left" vertical="center"/>
    </xf>
    <xf numFmtId="10" fontId="7" fillId="0" borderId="11" xfId="1" applyNumberFormat="1" applyFont="1" applyFill="1" applyBorder="1" applyAlignment="1">
      <alignment horizontal="left" vertical="center" wrapText="1"/>
    </xf>
    <xf numFmtId="9" fontId="7" fillId="0" borderId="2" xfId="1" applyFont="1" applyFill="1" applyBorder="1" applyAlignment="1">
      <alignment horizontal="left" vertical="center"/>
    </xf>
    <xf numFmtId="10" fontId="7" fillId="0" borderId="51" xfId="1" applyNumberFormat="1" applyFont="1" applyFill="1" applyBorder="1" applyAlignment="1">
      <alignment horizontal="left" vertical="center" wrapText="1"/>
    </xf>
    <xf numFmtId="10" fontId="7" fillId="0" borderId="2" xfId="1" applyNumberFormat="1" applyFont="1" applyFill="1" applyBorder="1" applyAlignment="1">
      <alignment horizontal="left" vertical="center"/>
    </xf>
    <xf numFmtId="10" fontId="7" fillId="0" borderId="51" xfId="1" applyNumberFormat="1" applyFont="1" applyFill="1" applyBorder="1" applyAlignment="1">
      <alignment horizontal="left" vertical="center"/>
    </xf>
    <xf numFmtId="14" fontId="3" fillId="0" borderId="2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180" fontId="7" fillId="0" borderId="3" xfId="0" applyNumberFormat="1" applyFont="1" applyFill="1" applyBorder="1" applyAlignment="1">
      <alignment horizontal="left" vertical="center"/>
    </xf>
    <xf numFmtId="178" fontId="8" fillId="0" borderId="55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180" fontId="7" fillId="0" borderId="4" xfId="0" applyNumberFormat="1" applyFont="1" applyFill="1" applyBorder="1" applyAlignment="1">
      <alignment horizontal="left" vertical="center"/>
    </xf>
    <xf numFmtId="10" fontId="7" fillId="0" borderId="22" xfId="0" applyNumberFormat="1" applyFont="1" applyFill="1" applyBorder="1" applyAlignment="1">
      <alignment horizontal="left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14" fontId="7" fillId="0" borderId="55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64" xfId="0" applyFont="1" applyFill="1" applyBorder="1">
      <alignment vertical="center"/>
    </xf>
    <xf numFmtId="0" fontId="7" fillId="0" borderId="64" xfId="0" applyFont="1" applyBorder="1" applyAlignment="1">
      <alignment horizontal="center" vertical="center"/>
    </xf>
    <xf numFmtId="14" fontId="7" fillId="0" borderId="64" xfId="0" applyNumberFormat="1" applyFont="1" applyBorder="1" applyAlignment="1">
      <alignment horizontal="center" vertical="center"/>
    </xf>
    <xf numFmtId="9" fontId="7" fillId="0" borderId="64" xfId="1" applyFont="1" applyBorder="1" applyAlignment="1">
      <alignment horizontal="center" vertical="center"/>
    </xf>
    <xf numFmtId="180" fontId="7" fillId="0" borderId="64" xfId="0" applyNumberFormat="1" applyFont="1" applyFill="1" applyBorder="1" applyAlignment="1">
      <alignment horizontal="left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2" xfId="0" applyNumberFormat="1" applyFont="1" applyBorder="1" applyAlignment="1">
      <alignment horizontal="center" vertical="center"/>
    </xf>
    <xf numFmtId="0" fontId="7" fillId="0" borderId="11" xfId="0" applyFont="1" applyFill="1" applyBorder="1" applyAlignment="1">
      <alignment vertical="center"/>
    </xf>
    <xf numFmtId="178" fontId="8" fillId="0" borderId="22" xfId="0" applyNumberFormat="1" applyFont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left" vertical="center"/>
    </xf>
    <xf numFmtId="178" fontId="8" fillId="0" borderId="6" xfId="0" applyNumberFormat="1" applyFont="1" applyFill="1" applyBorder="1" applyAlignment="1">
      <alignment horizontal="left" vertical="center"/>
    </xf>
    <xf numFmtId="178" fontId="8" fillId="0" borderId="4" xfId="0" applyNumberFormat="1" applyFont="1" applyFill="1" applyBorder="1" applyAlignment="1">
      <alignment horizontal="left" vertical="center"/>
    </xf>
    <xf numFmtId="178" fontId="8" fillId="0" borderId="11" xfId="0" applyNumberFormat="1" applyFont="1" applyFill="1" applyBorder="1" applyAlignment="1">
      <alignment horizontal="left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41" fontId="8" fillId="0" borderId="2" xfId="4" applyFont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9" fontId="7" fillId="0" borderId="22" xfId="1" applyFont="1" applyFill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178" fontId="10" fillId="15" borderId="2" xfId="0" applyNumberFormat="1" applyFon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horizontal="center" vertical="center"/>
    </xf>
    <xf numFmtId="178" fontId="10" fillId="0" borderId="11" xfId="0" applyNumberFormat="1" applyFont="1" applyFill="1" applyBorder="1" applyAlignment="1">
      <alignment horizontal="center" vertical="center"/>
    </xf>
    <xf numFmtId="178" fontId="10" fillId="0" borderId="6" xfId="0" applyNumberFormat="1" applyFont="1" applyFill="1" applyBorder="1" applyAlignment="1">
      <alignment horizontal="center" vertical="center"/>
    </xf>
    <xf numFmtId="178" fontId="10" fillId="0" borderId="3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78" fontId="10" fillId="0" borderId="11" xfId="0" applyNumberFormat="1" applyFont="1" applyBorder="1" applyAlignment="1">
      <alignment horizontal="center" vertical="center"/>
    </xf>
    <xf numFmtId="178" fontId="10" fillId="0" borderId="16" xfId="0" applyNumberFormat="1" applyFont="1" applyBorder="1" applyAlignment="1">
      <alignment horizontal="center" vertical="center"/>
    </xf>
    <xf numFmtId="178" fontId="10" fillId="16" borderId="16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2" xfId="0" applyNumberFormat="1" applyFont="1" applyFill="1" applyBorder="1" applyAlignment="1">
      <alignment horizontal="center" vertical="center"/>
    </xf>
    <xf numFmtId="181" fontId="10" fillId="15" borderId="2" xfId="0" applyNumberFormat="1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181" fontId="10" fillId="0" borderId="16" xfId="0" applyNumberFormat="1" applyFont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178" fontId="8" fillId="0" borderId="11" xfId="0" applyNumberFormat="1" applyFont="1" applyFill="1" applyBorder="1" applyAlignment="1">
      <alignment vertical="center"/>
    </xf>
    <xf numFmtId="10" fontId="7" fillId="0" borderId="13" xfId="0" applyNumberFormat="1" applyFont="1" applyFill="1" applyBorder="1" applyAlignment="1">
      <alignment horizontal="left" vertical="center"/>
    </xf>
    <xf numFmtId="178" fontId="8" fillId="0" borderId="4" xfId="0" applyNumberFormat="1" applyFont="1" applyFill="1" applyBorder="1" applyAlignment="1">
      <alignment vertical="center"/>
    </xf>
    <xf numFmtId="178" fontId="8" fillId="0" borderId="2" xfId="0" applyNumberFormat="1" applyFont="1" applyFill="1" applyBorder="1" applyAlignment="1">
      <alignment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8" fontId="8" fillId="0" borderId="3" xfId="0" applyNumberFormat="1" applyFont="1" applyBorder="1" applyAlignment="1">
      <alignment horizontal="center" vertical="center"/>
    </xf>
    <xf numFmtId="0" fontId="19" fillId="0" borderId="5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17" borderId="55" xfId="0" applyNumberFormat="1" applyFont="1" applyFill="1" applyBorder="1" applyAlignment="1">
      <alignment horizontal="left" vertical="center" wrapText="1"/>
    </xf>
    <xf numFmtId="0" fontId="7" fillId="17" borderId="6" xfId="0" applyNumberFormat="1" applyFont="1" applyFill="1" applyBorder="1" applyAlignment="1">
      <alignment horizontal="left" vertical="center" wrapText="1"/>
    </xf>
    <xf numFmtId="0" fontId="7" fillId="17" borderId="4" xfId="0" applyNumberFormat="1" applyFont="1" applyFill="1" applyBorder="1" applyAlignment="1">
      <alignment horizontal="left" vertical="center" wrapText="1"/>
    </xf>
    <xf numFmtId="0" fontId="7" fillId="17" borderId="4" xfId="0" applyNumberFormat="1" applyFont="1" applyFill="1" applyBorder="1" applyAlignment="1">
      <alignment horizontal="left" vertical="center"/>
    </xf>
    <xf numFmtId="0" fontId="7" fillId="17" borderId="6" xfId="0" applyNumberFormat="1" applyFont="1" applyFill="1" applyBorder="1" applyAlignment="1">
      <alignment horizontal="left" vertical="center"/>
    </xf>
    <xf numFmtId="0" fontId="10" fillId="17" borderId="6" xfId="0" applyFont="1" applyFill="1" applyBorder="1">
      <alignment vertical="center"/>
    </xf>
    <xf numFmtId="0" fontId="10" fillId="17" borderId="4" xfId="0" applyFont="1" applyFill="1" applyBorder="1">
      <alignment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vertical="center" wrapText="1"/>
    </xf>
    <xf numFmtId="14" fontId="10" fillId="0" borderId="2" xfId="0" applyNumberFormat="1" applyFont="1" applyFill="1" applyBorder="1" applyAlignment="1">
      <alignment horizontal="center" vertical="center"/>
    </xf>
    <xf numFmtId="10" fontId="7" fillId="0" borderId="4" xfId="0" applyNumberFormat="1" applyFont="1" applyFill="1" applyBorder="1" applyAlignment="1">
      <alignment horizontal="left" vertical="center"/>
    </xf>
    <xf numFmtId="9" fontId="7" fillId="0" borderId="4" xfId="1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51" xfId="0" applyFont="1" applyBorder="1">
      <alignment vertical="center"/>
    </xf>
    <xf numFmtId="0" fontId="7" fillId="0" borderId="51" xfId="0" applyFont="1" applyBorder="1" applyAlignment="1">
      <alignment horizontal="center" vertical="center"/>
    </xf>
    <xf numFmtId="14" fontId="7" fillId="0" borderId="51" xfId="0" applyNumberFormat="1" applyFont="1" applyBorder="1" applyAlignment="1">
      <alignment horizontal="center" vertical="center"/>
    </xf>
    <xf numFmtId="9" fontId="7" fillId="0" borderId="51" xfId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59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9" fontId="10" fillId="0" borderId="6" xfId="1" applyFont="1" applyBorder="1" applyAlignment="1">
      <alignment horizontal="center" vertical="center"/>
    </xf>
    <xf numFmtId="10" fontId="7" fillId="0" borderId="4" xfId="1" applyNumberFormat="1" applyFont="1" applyFill="1" applyBorder="1" applyAlignment="1">
      <alignment horizontal="left" vertical="center" wrapText="1"/>
    </xf>
    <xf numFmtId="14" fontId="7" fillId="0" borderId="4" xfId="0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10" fontId="7" fillId="0" borderId="2" xfId="1" applyNumberFormat="1" applyFont="1" applyFill="1" applyBorder="1" applyAlignment="1">
      <alignment horizontal="left" vertical="center" wrapText="1"/>
    </xf>
    <xf numFmtId="0" fontId="7" fillId="0" borderId="3" xfId="0" applyFont="1" applyBorder="1">
      <alignment vertical="center"/>
    </xf>
    <xf numFmtId="10" fontId="7" fillId="0" borderId="3" xfId="1" applyNumberFormat="1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9" fontId="7" fillId="0" borderId="3" xfId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7" fillId="0" borderId="51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16" xfId="0" applyNumberFormat="1" applyFont="1" applyBorder="1" applyAlignment="1">
      <alignment horizontal="center" vertical="center"/>
    </xf>
    <xf numFmtId="14" fontId="7" fillId="0" borderId="16" xfId="0" applyNumberFormat="1" applyFont="1" applyFill="1" applyBorder="1" applyAlignment="1">
      <alignment horizontal="center" vertical="center"/>
    </xf>
    <xf numFmtId="178" fontId="0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left" vertical="center"/>
    </xf>
    <xf numFmtId="41" fontId="10" fillId="0" borderId="16" xfId="4" applyFont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vertical="center" wrapText="1"/>
    </xf>
    <xf numFmtId="10" fontId="7" fillId="3" borderId="51" xfId="0" applyNumberFormat="1" applyFont="1" applyFill="1" applyBorder="1" applyAlignment="1">
      <alignment horizontal="left" vertical="center"/>
    </xf>
    <xf numFmtId="0" fontId="7" fillId="3" borderId="51" xfId="0" applyFont="1" applyFill="1" applyBorder="1" applyAlignment="1">
      <alignment horizontal="center" vertical="center"/>
    </xf>
    <xf numFmtId="14" fontId="7" fillId="3" borderId="51" xfId="0" applyNumberFormat="1" applyFont="1" applyFill="1" applyBorder="1" applyAlignment="1">
      <alignment horizontal="center" vertical="center"/>
    </xf>
    <xf numFmtId="9" fontId="7" fillId="3" borderId="51" xfId="1" applyFont="1" applyFill="1" applyBorder="1" applyAlignment="1">
      <alignment horizontal="center" vertical="center"/>
    </xf>
    <xf numFmtId="178" fontId="10" fillId="3" borderId="6" xfId="0" applyNumberFormat="1" applyFont="1" applyFill="1" applyBorder="1" applyAlignment="1">
      <alignment horizontal="center" vertical="center"/>
    </xf>
    <xf numFmtId="181" fontId="10" fillId="3" borderId="6" xfId="0" applyNumberFormat="1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9" fontId="7" fillId="3" borderId="11" xfId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18" borderId="2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178" fontId="10" fillId="3" borderId="11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178" fontId="8" fillId="0" borderId="13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9" fontId="7" fillId="0" borderId="22" xfId="1" applyFont="1" applyFill="1" applyBorder="1" applyAlignment="1">
      <alignment horizontal="center" vertical="center"/>
    </xf>
    <xf numFmtId="180" fontId="7" fillId="0" borderId="52" xfId="0" applyNumberFormat="1" applyFont="1" applyFill="1" applyBorder="1" applyAlignment="1">
      <alignment horizontal="left" vertical="center"/>
    </xf>
    <xf numFmtId="9" fontId="3" fillId="0" borderId="2" xfId="1" applyFont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181" fontId="10" fillId="0" borderId="22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0" fontId="7" fillId="0" borderId="73" xfId="0" applyFont="1" applyFill="1" applyBorder="1" applyAlignment="1">
      <alignment vertical="center" wrapText="1"/>
    </xf>
    <xf numFmtId="0" fontId="7" fillId="0" borderId="73" xfId="0" applyNumberFormat="1" applyFont="1" applyFill="1" applyBorder="1" applyAlignment="1">
      <alignment horizontal="left" vertical="center" wrapText="1"/>
    </xf>
    <xf numFmtId="0" fontId="7" fillId="0" borderId="73" xfId="0" applyFont="1" applyFill="1" applyBorder="1" applyAlignment="1">
      <alignment horizontal="center" vertical="center"/>
    </xf>
    <xf numFmtId="14" fontId="10" fillId="0" borderId="73" xfId="0" applyNumberFormat="1" applyFont="1" applyFill="1" applyBorder="1" applyAlignment="1">
      <alignment horizontal="center" vertical="center"/>
    </xf>
    <xf numFmtId="9" fontId="7" fillId="0" borderId="73" xfId="1" applyFont="1" applyFill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178" fontId="8" fillId="0" borderId="4" xfId="0" applyNumberFormat="1" applyFont="1" applyFill="1" applyBorder="1" applyAlignment="1">
      <alignment horizontal="left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67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78" fontId="8" fillId="0" borderId="2" xfId="0" applyNumberFormat="1" applyFont="1" applyBorder="1" applyAlignment="1">
      <alignment horizontal="left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0" fontId="7" fillId="0" borderId="22" xfId="1" applyNumberFormat="1" applyFont="1" applyFill="1" applyBorder="1" applyAlignment="1">
      <alignment horizontal="left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73" xfId="0" applyFont="1" applyBorder="1">
      <alignment vertical="center"/>
    </xf>
    <xf numFmtId="14" fontId="7" fillId="0" borderId="73" xfId="0" applyNumberFormat="1" applyFont="1" applyBorder="1" applyAlignment="1">
      <alignment horizontal="center" vertical="center"/>
    </xf>
    <xf numFmtId="9" fontId="7" fillId="0" borderId="73" xfId="1" applyFont="1" applyBorder="1" applyAlignment="1">
      <alignment horizontal="center" vertical="center"/>
    </xf>
    <xf numFmtId="0" fontId="7" fillId="3" borderId="4" xfId="0" applyFont="1" applyFill="1" applyBorder="1">
      <alignment vertical="center"/>
    </xf>
    <xf numFmtId="14" fontId="7" fillId="0" borderId="22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9" fontId="22" fillId="0" borderId="11" xfId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67" xfId="0" applyNumberFormat="1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9" fontId="7" fillId="0" borderId="13" xfId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vertical="center" wrapText="1"/>
    </xf>
    <xf numFmtId="178" fontId="3" fillId="0" borderId="2" xfId="0" applyNumberFormat="1" applyFont="1" applyBorder="1" applyAlignment="1">
      <alignment horizontal="center" vertical="center"/>
    </xf>
    <xf numFmtId="178" fontId="10" fillId="15" borderId="3" xfId="0" applyNumberFormat="1" applyFont="1" applyFill="1" applyBorder="1" applyAlignment="1">
      <alignment horizontal="center" vertical="center"/>
    </xf>
    <xf numFmtId="178" fontId="10" fillId="15" borderId="6" xfId="0" applyNumberFormat="1" applyFont="1" applyFill="1" applyBorder="1" applyAlignment="1">
      <alignment horizontal="center" vertical="center"/>
    </xf>
    <xf numFmtId="181" fontId="10" fillId="15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78" fontId="10" fillId="15" borderId="22" xfId="0" applyNumberFormat="1" applyFont="1" applyFill="1" applyBorder="1" applyAlignment="1">
      <alignment horizontal="center" vertical="center"/>
    </xf>
    <xf numFmtId="178" fontId="8" fillId="0" borderId="2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9" fontId="7" fillId="0" borderId="22" xfId="1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78" fontId="10" fillId="11" borderId="2" xfId="0" applyNumberFormat="1" applyFont="1" applyFill="1" applyBorder="1" applyAlignment="1">
      <alignment horizontal="center" vertical="center"/>
    </xf>
    <xf numFmtId="181" fontId="10" fillId="11" borderId="2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15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181" fontId="10" fillId="0" borderId="22" xfId="0" applyNumberFormat="1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178" fontId="6" fillId="3" borderId="6" xfId="0" applyNumberFormat="1" applyFont="1" applyFill="1" applyBorder="1" applyAlignment="1">
      <alignment horizontal="left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4" fontId="7" fillId="0" borderId="55" xfId="0" applyNumberFormat="1" applyFont="1" applyFill="1" applyBorder="1" applyAlignment="1">
      <alignment horizontal="center" vertical="center"/>
    </xf>
    <xf numFmtId="178" fontId="8" fillId="0" borderId="6" xfId="0" applyNumberFormat="1" applyFont="1" applyBorder="1" applyAlignment="1">
      <alignment horizontal="left" vertical="center"/>
    </xf>
    <xf numFmtId="14" fontId="7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78" fontId="23" fillId="0" borderId="2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81" fontId="10" fillId="0" borderId="22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4" fontId="10" fillId="0" borderId="11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178" fontId="10" fillId="3" borderId="2" xfId="0" applyNumberFormat="1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78" fontId="10" fillId="0" borderId="21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78" fontId="8" fillId="0" borderId="22" xfId="0" applyNumberFormat="1" applyFont="1" applyFill="1" applyBorder="1" applyAlignment="1">
      <alignment horizontal="center" vertical="center"/>
    </xf>
    <xf numFmtId="14" fontId="10" fillId="0" borderId="6" xfId="0" applyNumberFormat="1" applyFont="1" applyFill="1" applyBorder="1" applyAlignment="1">
      <alignment horizontal="center" vertical="center"/>
    </xf>
    <xf numFmtId="14" fontId="10" fillId="0" borderId="11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78" fontId="10" fillId="11" borderId="4" xfId="0" applyNumberFormat="1" applyFont="1" applyFill="1" applyBorder="1" applyAlignment="1">
      <alignment horizontal="center" vertical="center"/>
    </xf>
    <xf numFmtId="181" fontId="10" fillId="11" borderId="4" xfId="0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7" fillId="0" borderId="65" xfId="0" applyFont="1" applyFill="1" applyBorder="1" applyAlignment="1">
      <alignment horizontal="center" vertical="center"/>
    </xf>
    <xf numFmtId="0" fontId="7" fillId="0" borderId="65" xfId="0" applyFont="1" applyFill="1" applyBorder="1" applyAlignment="1">
      <alignment vertical="center" wrapText="1"/>
    </xf>
    <xf numFmtId="0" fontId="7" fillId="17" borderId="65" xfId="0" applyNumberFormat="1" applyFont="1" applyFill="1" applyBorder="1" applyAlignment="1">
      <alignment horizontal="left" vertical="center" wrapText="1"/>
    </xf>
    <xf numFmtId="14" fontId="7" fillId="0" borderId="65" xfId="0" applyNumberFormat="1" applyFont="1" applyFill="1" applyBorder="1" applyAlignment="1">
      <alignment horizontal="center" vertical="center"/>
    </xf>
    <xf numFmtId="9" fontId="7" fillId="0" borderId="65" xfId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78" fontId="10" fillId="15" borderId="11" xfId="0" applyNumberFormat="1" applyFont="1" applyFill="1" applyBorder="1" applyAlignment="1">
      <alignment horizontal="center" vertical="center"/>
    </xf>
    <xf numFmtId="181" fontId="10" fillId="15" borderId="11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14" fontId="7" fillId="0" borderId="58" xfId="0" applyNumberFormat="1" applyFont="1" applyFill="1" applyBorder="1" applyAlignment="1">
      <alignment horizontal="center" vertical="center"/>
    </xf>
    <xf numFmtId="14" fontId="7" fillId="0" borderId="60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vertical="center"/>
    </xf>
    <xf numFmtId="181" fontId="10" fillId="0" borderId="2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178" fontId="10" fillId="11" borderId="11" xfId="0" applyNumberFormat="1" applyFont="1" applyFill="1" applyBorder="1" applyAlignment="1">
      <alignment horizontal="center" vertical="center"/>
    </xf>
    <xf numFmtId="181" fontId="10" fillId="11" borderId="11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horizontal="left" vertical="center"/>
    </xf>
    <xf numFmtId="14" fontId="7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78" fontId="11" fillId="0" borderId="2" xfId="0" applyNumberFormat="1" applyFont="1" applyFill="1" applyBorder="1" applyAlignment="1">
      <alignment horizontal="left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16" borderId="2" xfId="0" applyNumberFormat="1" applyFont="1" applyFill="1" applyBorder="1" applyAlignment="1">
      <alignment horizontal="center" vertical="center"/>
    </xf>
    <xf numFmtId="178" fontId="10" fillId="16" borderId="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22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78" fontId="10" fillId="15" borderId="51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181" fontId="10" fillId="0" borderId="2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 shrinkToFit="1"/>
    </xf>
    <xf numFmtId="181" fontId="10" fillId="0" borderId="22" xfId="0" applyNumberFormat="1" applyFont="1" applyFill="1" applyBorder="1" applyAlignment="1">
      <alignment horizontal="center" vertical="center" shrinkToFit="1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11" xfId="0" applyNumberFormat="1" applyFont="1" applyBorder="1" applyAlignment="1">
      <alignment horizontal="center" vertic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/>
    </xf>
    <xf numFmtId="0" fontId="10" fillId="0" borderId="16" xfId="0" applyNumberFormat="1" applyFont="1" applyBorder="1" applyAlignment="1">
      <alignment horizontal="center" vertical="center"/>
    </xf>
    <xf numFmtId="178" fontId="9" fillId="0" borderId="2" xfId="0" applyNumberFormat="1" applyFont="1" applyFill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41" fontId="8" fillId="0" borderId="6" xfId="4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41" fontId="8" fillId="0" borderId="11" xfId="4" applyFont="1" applyBorder="1" applyAlignment="1">
      <alignment horizontal="center" vertical="center"/>
    </xf>
    <xf numFmtId="178" fontId="10" fillId="15" borderId="4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81" fontId="10" fillId="15" borderId="4" xfId="0" applyNumberFormat="1" applyFont="1" applyFill="1" applyBorder="1" applyAlignment="1">
      <alignment horizontal="center" vertical="center" shrinkToFit="1"/>
    </xf>
    <xf numFmtId="181" fontId="10" fillId="15" borderId="51" xfId="0" applyNumberFormat="1" applyFont="1" applyFill="1" applyBorder="1" applyAlignment="1">
      <alignment horizontal="center" vertical="center" shrinkToFit="1"/>
    </xf>
    <xf numFmtId="178" fontId="10" fillId="15" borderId="4" xfId="0" applyNumberFormat="1" applyFont="1" applyFill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 shrinkToFit="1"/>
    </xf>
    <xf numFmtId="178" fontId="10" fillId="11" borderId="1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1" fontId="5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/>
    </xf>
    <xf numFmtId="181" fontId="10" fillId="0" borderId="16" xfId="0" applyNumberFormat="1" applyFont="1" applyFill="1" applyBorder="1" applyAlignment="1">
      <alignment horizontal="center" vertical="center"/>
    </xf>
    <xf numFmtId="178" fontId="10" fillId="0" borderId="55" xfId="0" applyNumberFormat="1" applyFont="1" applyFill="1" applyBorder="1" applyAlignment="1">
      <alignment horizontal="center" vertical="center" shrinkToFit="1"/>
    </xf>
    <xf numFmtId="181" fontId="10" fillId="0" borderId="55" xfId="0" applyNumberFormat="1" applyFont="1" applyFill="1" applyBorder="1" applyAlignment="1">
      <alignment horizontal="center" vertical="center" shrinkToFit="1"/>
    </xf>
    <xf numFmtId="178" fontId="10" fillId="0" borderId="2" xfId="0" applyNumberFormat="1" applyFont="1" applyFill="1" applyBorder="1" applyAlignment="1">
      <alignment horizontal="center" vertical="center" shrinkToFit="1"/>
    </xf>
    <xf numFmtId="181" fontId="10" fillId="0" borderId="2" xfId="0" applyNumberFormat="1" applyFont="1" applyFill="1" applyBorder="1" applyAlignment="1">
      <alignment horizontal="center" vertical="center" shrinkToFit="1"/>
    </xf>
    <xf numFmtId="178" fontId="10" fillId="0" borderId="11" xfId="0" applyNumberFormat="1" applyFont="1" applyFill="1" applyBorder="1" applyAlignment="1">
      <alignment horizontal="center" vertical="center" shrinkToFit="1"/>
    </xf>
    <xf numFmtId="181" fontId="10" fillId="0" borderId="11" xfId="0" applyNumberFormat="1" applyFont="1" applyFill="1" applyBorder="1" applyAlignment="1">
      <alignment horizontal="center" vertical="center" shrinkToFit="1"/>
    </xf>
    <xf numFmtId="178" fontId="5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4" fontId="7" fillId="0" borderId="13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 wrapText="1"/>
    </xf>
    <xf numFmtId="181" fontId="10" fillId="0" borderId="11" xfId="0" applyNumberFormat="1" applyFont="1" applyFill="1" applyBorder="1" applyAlignment="1">
      <alignment horizontal="center" vertical="center"/>
    </xf>
    <xf numFmtId="14" fontId="28" fillId="0" borderId="13" xfId="0" applyNumberFormat="1" applyFont="1" applyFill="1" applyBorder="1" applyAlignment="1">
      <alignment horizontal="center" vertical="center"/>
    </xf>
    <xf numFmtId="14" fontId="17" fillId="0" borderId="2" xfId="0" applyNumberFormat="1" applyFont="1" applyFill="1" applyBorder="1" applyAlignment="1">
      <alignment horizontal="center" vertical="center"/>
    </xf>
    <xf numFmtId="14" fontId="28" fillId="0" borderId="2" xfId="0" applyNumberFormat="1" applyFont="1" applyFill="1" applyBorder="1" applyAlignment="1">
      <alignment horizontal="center" vertical="center"/>
    </xf>
    <xf numFmtId="0" fontId="22" fillId="0" borderId="11" xfId="0" applyFont="1" applyBorder="1">
      <alignment vertical="center"/>
    </xf>
    <xf numFmtId="10" fontId="22" fillId="0" borderId="11" xfId="1" applyNumberFormat="1" applyFont="1" applyFill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78" fontId="10" fillId="15" borderId="4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78" fontId="10" fillId="0" borderId="52" xfId="0" applyNumberFormat="1" applyFont="1" applyFill="1" applyBorder="1" applyAlignment="1">
      <alignment horizontal="center" vertical="center"/>
    </xf>
    <xf numFmtId="181" fontId="10" fillId="0" borderId="52" xfId="0" applyNumberFormat="1" applyFont="1" applyFill="1" applyBorder="1" applyAlignment="1">
      <alignment horizontal="center" vertical="center"/>
    </xf>
    <xf numFmtId="178" fontId="10" fillId="0" borderId="51" xfId="0" applyNumberFormat="1" applyFont="1" applyFill="1" applyBorder="1" applyAlignment="1">
      <alignment horizontal="center" vertical="center"/>
    </xf>
    <xf numFmtId="181" fontId="10" fillId="0" borderId="51" xfId="0" applyNumberFormat="1" applyFont="1" applyFill="1" applyBorder="1" applyAlignment="1">
      <alignment horizontal="center" vertical="center"/>
    </xf>
    <xf numFmtId="178" fontId="11" fillId="3" borderId="2" xfId="0" applyNumberFormat="1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11" xfId="0" applyNumberFormat="1" applyFont="1" applyBorder="1" applyAlignment="1">
      <alignment horizontal="center" vertical="center"/>
    </xf>
    <xf numFmtId="181" fontId="10" fillId="0" borderId="6" xfId="0" applyNumberFormat="1" applyFont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9" fontId="10" fillId="0" borderId="2" xfId="1" applyFont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10" fillId="0" borderId="11" xfId="0" applyFont="1" applyBorder="1">
      <alignment vertical="center"/>
    </xf>
    <xf numFmtId="0" fontId="10" fillId="0" borderId="11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9" fontId="10" fillId="0" borderId="11" xfId="1" applyFont="1" applyBorder="1" applyAlignment="1">
      <alignment horizontal="center" vertical="center"/>
    </xf>
    <xf numFmtId="0" fontId="10" fillId="0" borderId="11" xfId="0" applyFont="1" applyFill="1" applyBorder="1" applyAlignment="1">
      <alignment horizontal="left" vertical="center"/>
    </xf>
    <xf numFmtId="178" fontId="10" fillId="0" borderId="55" xfId="0" applyNumberFormat="1" applyFont="1" applyFill="1" applyBorder="1" applyAlignment="1">
      <alignment horizontal="center" vertical="center"/>
    </xf>
    <xf numFmtId="181" fontId="10" fillId="0" borderId="55" xfId="0" applyNumberFormat="1" applyFont="1" applyFill="1" applyBorder="1" applyAlignment="1">
      <alignment horizontal="center" vertical="center"/>
    </xf>
    <xf numFmtId="14" fontId="7" fillId="5" borderId="51" xfId="0" applyNumberFormat="1" applyFont="1" applyFill="1" applyBorder="1" applyAlignment="1">
      <alignment horizontal="center" vertical="center"/>
    </xf>
    <xf numFmtId="9" fontId="7" fillId="5" borderId="51" xfId="1" applyFont="1" applyFill="1" applyBorder="1" applyAlignment="1">
      <alignment horizontal="center" vertical="center"/>
    </xf>
    <xf numFmtId="41" fontId="7" fillId="0" borderId="21" xfId="4" applyFont="1" applyBorder="1" applyAlignment="1">
      <alignment horizontal="center" vertical="center"/>
    </xf>
    <xf numFmtId="41" fontId="7" fillId="0" borderId="13" xfId="4" applyFont="1" applyBorder="1" applyAlignment="1">
      <alignment horizontal="center" vertical="center"/>
    </xf>
    <xf numFmtId="41" fontId="7" fillId="0" borderId="22" xfId="4" applyFont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22" xfId="0" applyNumberFormat="1" applyFont="1" applyBorder="1" applyAlignment="1">
      <alignment horizontal="center" vertical="center"/>
    </xf>
    <xf numFmtId="0" fontId="8" fillId="0" borderId="21" xfId="0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8" fillId="0" borderId="22" xfId="0" applyNumberFormat="1" applyFont="1" applyBorder="1" applyAlignment="1">
      <alignment horizontal="center" vertical="center"/>
    </xf>
    <xf numFmtId="181" fontId="10" fillId="0" borderId="21" xfId="0" applyNumberFormat="1" applyFont="1" applyBorder="1" applyAlignment="1">
      <alignment horizontal="center" vertical="center"/>
    </xf>
    <xf numFmtId="181" fontId="10" fillId="0" borderId="13" xfId="0" applyNumberFormat="1" applyFont="1" applyBorder="1" applyAlignment="1">
      <alignment horizontal="center" vertical="center"/>
    </xf>
    <xf numFmtId="181" fontId="10" fillId="0" borderId="22" xfId="0" applyNumberFormat="1" applyFont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181" fontId="10" fillId="0" borderId="21" xfId="0" applyNumberFormat="1" applyFont="1" applyFill="1" applyBorder="1" applyAlignment="1">
      <alignment horizontal="center" vertical="center" wrapText="1"/>
    </xf>
    <xf numFmtId="181" fontId="10" fillId="0" borderId="13" xfId="0" applyNumberFormat="1" applyFont="1" applyFill="1" applyBorder="1" applyAlignment="1">
      <alignment horizontal="center" vertical="center"/>
    </xf>
    <xf numFmtId="181" fontId="10" fillId="0" borderId="22" xfId="0" applyNumberFormat="1" applyFont="1" applyFill="1" applyBorder="1" applyAlignment="1">
      <alignment horizontal="center" vertical="center"/>
    </xf>
    <xf numFmtId="0" fontId="7" fillId="0" borderId="21" xfId="0" applyNumberFormat="1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>
      <alignment horizontal="center" vertical="center"/>
    </xf>
    <xf numFmtId="0" fontId="7" fillId="0" borderId="22" xfId="0" applyNumberFormat="1" applyFont="1" applyFill="1" applyBorder="1" applyAlignment="1">
      <alignment horizontal="center" vertical="center"/>
    </xf>
    <xf numFmtId="41" fontId="7" fillId="0" borderId="21" xfId="4" applyFont="1" applyFill="1" applyBorder="1" applyAlignment="1">
      <alignment horizontal="center" vertical="center"/>
    </xf>
    <xf numFmtId="41" fontId="7" fillId="0" borderId="13" xfId="4" applyFont="1" applyFill="1" applyBorder="1" applyAlignment="1">
      <alignment horizontal="center" vertical="center"/>
    </xf>
    <xf numFmtId="41" fontId="7" fillId="0" borderId="22" xfId="4" applyFont="1" applyFill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7" fillId="0" borderId="21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14" fontId="10" fillId="0" borderId="21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7" fillId="15" borderId="21" xfId="0" applyNumberFormat="1" applyFont="1" applyFill="1" applyBorder="1" applyAlignment="1">
      <alignment horizontal="center" vertical="center"/>
    </xf>
    <xf numFmtId="14" fontId="7" fillId="15" borderId="13" xfId="0" applyNumberFormat="1" applyFont="1" applyFill="1" applyBorder="1" applyAlignment="1">
      <alignment horizontal="center" vertical="center"/>
    </xf>
    <xf numFmtId="181" fontId="10" fillId="0" borderId="21" xfId="0" applyNumberFormat="1" applyFont="1" applyFill="1" applyBorder="1" applyAlignment="1">
      <alignment horizontal="center" vertical="center"/>
    </xf>
    <xf numFmtId="41" fontId="8" fillId="0" borderId="21" xfId="4" applyFont="1" applyBorder="1" applyAlignment="1">
      <alignment horizontal="center" vertical="center"/>
    </xf>
    <xf numFmtId="41" fontId="8" fillId="0" borderId="13" xfId="4" applyFont="1" applyBorder="1" applyAlignment="1">
      <alignment horizontal="center" vertical="center"/>
    </xf>
    <xf numFmtId="41" fontId="8" fillId="0" borderId="22" xfId="4" applyFont="1" applyBorder="1" applyAlignment="1">
      <alignment horizontal="center" vertical="center"/>
    </xf>
    <xf numFmtId="181" fontId="10" fillId="0" borderId="21" xfId="0" applyNumberFormat="1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/>
    </xf>
    <xf numFmtId="178" fontId="10" fillId="0" borderId="21" xfId="0" applyNumberFormat="1" applyFont="1" applyBorder="1" applyAlignment="1">
      <alignment horizontal="center" vertical="center"/>
    </xf>
    <xf numFmtId="178" fontId="10" fillId="0" borderId="13" xfId="0" applyNumberFormat="1" applyFont="1" applyBorder="1" applyAlignment="1">
      <alignment horizontal="center" vertical="center"/>
    </xf>
    <xf numFmtId="178" fontId="10" fillId="0" borderId="22" xfId="0" applyNumberFormat="1" applyFont="1" applyBorder="1" applyAlignment="1">
      <alignment horizontal="center" vertical="center"/>
    </xf>
    <xf numFmtId="41" fontId="10" fillId="0" borderId="21" xfId="4" applyFont="1" applyBorder="1" applyAlignment="1">
      <alignment horizontal="center" vertical="center"/>
    </xf>
    <xf numFmtId="41" fontId="10" fillId="0" borderId="13" xfId="4" applyFont="1" applyBorder="1" applyAlignment="1">
      <alignment horizontal="center" vertical="center"/>
    </xf>
    <xf numFmtId="41" fontId="10" fillId="0" borderId="22" xfId="4" applyFont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 wrapText="1"/>
    </xf>
    <xf numFmtId="0" fontId="10" fillId="0" borderId="22" xfId="0" applyNumberFormat="1" applyFont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51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21" xfId="3" applyNumberFormat="1" applyFont="1" applyFill="1" applyBorder="1" applyAlignment="1">
      <alignment horizontal="center" vertical="center"/>
    </xf>
    <xf numFmtId="0" fontId="7" fillId="0" borderId="13" xfId="3" applyNumberFormat="1" applyFont="1" applyFill="1" applyBorder="1" applyAlignment="1">
      <alignment horizontal="center" vertical="center"/>
    </xf>
    <xf numFmtId="0" fontId="7" fillId="0" borderId="22" xfId="3" applyNumberFormat="1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15" borderId="21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/>
    </xf>
    <xf numFmtId="14" fontId="7" fillId="0" borderId="8" xfId="0" applyNumberFormat="1" applyFont="1" applyFill="1" applyBorder="1" applyAlignment="1">
      <alignment horizontal="center" vertical="center"/>
    </xf>
    <xf numFmtId="14" fontId="7" fillId="0" borderId="62" xfId="0" applyNumberFormat="1" applyFont="1" applyFill="1" applyBorder="1" applyAlignment="1">
      <alignment horizontal="center" vertical="center"/>
    </xf>
    <xf numFmtId="14" fontId="7" fillId="0" borderId="10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178" fontId="10" fillId="15" borderId="21" xfId="0" applyNumberFormat="1" applyFont="1" applyFill="1" applyBorder="1" applyAlignment="1">
      <alignment horizontal="center" vertical="center"/>
    </xf>
    <xf numFmtId="178" fontId="10" fillId="15" borderId="13" xfId="0" applyNumberFormat="1" applyFont="1" applyFill="1" applyBorder="1" applyAlignment="1">
      <alignment horizontal="center" vertical="center"/>
    </xf>
    <xf numFmtId="178" fontId="10" fillId="15" borderId="22" xfId="0" applyNumberFormat="1" applyFont="1" applyFill="1" applyBorder="1" applyAlignment="1">
      <alignment horizontal="center" vertical="center"/>
    </xf>
    <xf numFmtId="14" fontId="7" fillId="0" borderId="22" xfId="0" applyNumberFormat="1" applyFont="1" applyFill="1" applyBorder="1" applyAlignment="1">
      <alignment horizontal="center" vertical="center"/>
    </xf>
    <xf numFmtId="0" fontId="7" fillId="0" borderId="72" xfId="0" applyFont="1" applyFill="1" applyBorder="1" applyAlignment="1">
      <alignment horizontal="center" vertical="center"/>
    </xf>
    <xf numFmtId="178" fontId="10" fillId="16" borderId="21" xfId="0" applyNumberFormat="1" applyFont="1" applyFill="1" applyBorder="1" applyAlignment="1">
      <alignment horizontal="center" vertical="center"/>
    </xf>
    <xf numFmtId="178" fontId="10" fillId="16" borderId="13" xfId="0" applyNumberFormat="1" applyFont="1" applyFill="1" applyBorder="1" applyAlignment="1">
      <alignment horizontal="center" vertical="center"/>
    </xf>
    <xf numFmtId="178" fontId="10" fillId="16" borderId="22" xfId="0" applyNumberFormat="1" applyFont="1" applyFill="1" applyBorder="1" applyAlignment="1">
      <alignment horizontal="center" vertical="center"/>
    </xf>
    <xf numFmtId="0" fontId="7" fillId="0" borderId="52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14" fontId="7" fillId="13" borderId="3" xfId="0" applyNumberFormat="1" applyFont="1" applyFill="1" applyBorder="1" applyAlignment="1">
      <alignment horizontal="center" vertical="center"/>
    </xf>
    <xf numFmtId="14" fontId="7" fillId="13" borderId="13" xfId="0" applyNumberFormat="1" applyFont="1" applyFill="1" applyBorder="1" applyAlignment="1">
      <alignment horizontal="center" vertical="center"/>
    </xf>
    <xf numFmtId="14" fontId="7" fillId="13" borderId="4" xfId="0" applyNumberFormat="1" applyFont="1" applyFill="1" applyBorder="1" applyAlignment="1">
      <alignment horizontal="center" vertical="center"/>
    </xf>
    <xf numFmtId="14" fontId="7" fillId="0" borderId="21" xfId="0" applyNumberFormat="1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/>
    </xf>
    <xf numFmtId="0" fontId="7" fillId="0" borderId="63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178" fontId="10" fillId="11" borderId="21" xfId="0" applyNumberFormat="1" applyFont="1" applyFill="1" applyBorder="1" applyAlignment="1">
      <alignment horizontal="center" vertical="center"/>
    </xf>
    <xf numFmtId="178" fontId="10" fillId="11" borderId="22" xfId="0" applyNumberFormat="1" applyFont="1" applyFill="1" applyBorder="1" applyAlignment="1">
      <alignment horizontal="center" vertical="center"/>
    </xf>
    <xf numFmtId="178" fontId="10" fillId="11" borderId="13" xfId="0" applyNumberFormat="1" applyFont="1" applyFill="1" applyBorder="1" applyAlignment="1">
      <alignment horizontal="center" vertical="center"/>
    </xf>
    <xf numFmtId="178" fontId="10" fillId="0" borderId="68" xfId="0" applyNumberFormat="1" applyFont="1" applyFill="1" applyBorder="1" applyAlignment="1">
      <alignment horizontal="center" vertical="center"/>
    </xf>
    <xf numFmtId="178" fontId="10" fillId="0" borderId="69" xfId="0" applyNumberFormat="1" applyFont="1" applyFill="1" applyBorder="1" applyAlignment="1">
      <alignment horizontal="center" vertical="center"/>
    </xf>
    <xf numFmtId="178" fontId="10" fillId="0" borderId="70" xfId="0" applyNumberFormat="1" applyFont="1" applyFill="1" applyBorder="1" applyAlignment="1">
      <alignment horizontal="center" vertical="center"/>
    </xf>
    <xf numFmtId="181" fontId="10" fillId="0" borderId="68" xfId="0" applyNumberFormat="1" applyFont="1" applyFill="1" applyBorder="1" applyAlignment="1">
      <alignment horizontal="center" vertical="center"/>
    </xf>
    <xf numFmtId="181" fontId="10" fillId="0" borderId="69" xfId="0" applyNumberFormat="1" applyFont="1" applyFill="1" applyBorder="1" applyAlignment="1">
      <alignment horizontal="center" vertical="center"/>
    </xf>
    <xf numFmtId="181" fontId="10" fillId="0" borderId="70" xfId="0" applyNumberFormat="1" applyFont="1" applyFill="1" applyBorder="1" applyAlignment="1">
      <alignment horizontal="center" vertical="center"/>
    </xf>
    <xf numFmtId="178" fontId="10" fillId="3" borderId="69" xfId="0" applyNumberFormat="1" applyFont="1" applyFill="1" applyBorder="1" applyAlignment="1">
      <alignment horizontal="center" vertical="center"/>
    </xf>
    <xf numFmtId="178" fontId="10" fillId="3" borderId="70" xfId="0" applyNumberFormat="1" applyFont="1" applyFill="1" applyBorder="1" applyAlignment="1">
      <alignment horizontal="center" vertical="center"/>
    </xf>
    <xf numFmtId="14" fontId="7" fillId="13" borderId="21" xfId="0" applyNumberFormat="1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14" fontId="7" fillId="13" borderId="6" xfId="0" applyNumberFormat="1" applyFont="1" applyFill="1" applyBorder="1" applyAlignment="1">
      <alignment horizontal="center" vertical="center"/>
    </xf>
    <xf numFmtId="14" fontId="7" fillId="13" borderId="2" xfId="0" applyNumberFormat="1" applyFont="1" applyFill="1" applyBorder="1" applyAlignment="1">
      <alignment horizontal="center" vertical="center"/>
    </xf>
    <xf numFmtId="14" fontId="7" fillId="13" borderId="11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 wrapText="1"/>
    </xf>
    <xf numFmtId="0" fontId="7" fillId="12" borderId="55" xfId="0" applyFont="1" applyFill="1" applyBorder="1" applyAlignment="1">
      <alignment horizontal="center" vertical="center"/>
    </xf>
    <xf numFmtId="178" fontId="10" fillId="0" borderId="21" xfId="0" applyNumberFormat="1" applyFont="1" applyFill="1" applyBorder="1" applyAlignment="1">
      <alignment horizontal="center" vertical="center"/>
    </xf>
    <xf numFmtId="178" fontId="10" fillId="0" borderId="22" xfId="0" applyNumberFormat="1" applyFont="1" applyFill="1" applyBorder="1" applyAlignment="1">
      <alignment horizontal="center" vertical="center"/>
    </xf>
    <xf numFmtId="9" fontId="7" fillId="12" borderId="21" xfId="1" applyFont="1" applyFill="1" applyBorder="1" applyAlignment="1">
      <alignment horizontal="center" vertical="center"/>
    </xf>
    <xf numFmtId="9" fontId="7" fillId="0" borderId="13" xfId="1" applyFont="1" applyFill="1" applyBorder="1" applyAlignment="1">
      <alignment horizontal="center" vertical="center"/>
    </xf>
    <xf numFmtId="9" fontId="7" fillId="0" borderId="22" xfId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14" fontId="7" fillId="0" borderId="33" xfId="0" applyNumberFormat="1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14" fontId="7" fillId="13" borderId="22" xfId="0" applyNumberFormat="1" applyFont="1" applyFill="1" applyBorder="1" applyAlignment="1">
      <alignment horizontal="center" vertical="center"/>
    </xf>
    <xf numFmtId="14" fontId="7" fillId="0" borderId="43" xfId="0" applyNumberFormat="1" applyFont="1" applyFill="1" applyBorder="1" applyAlignment="1">
      <alignment horizontal="center" vertical="center"/>
    </xf>
    <xf numFmtId="14" fontId="7" fillId="0" borderId="38" xfId="0" applyNumberFormat="1" applyFont="1" applyFill="1" applyBorder="1" applyAlignment="1">
      <alignment horizontal="center" vertical="center"/>
    </xf>
    <xf numFmtId="14" fontId="7" fillId="0" borderId="44" xfId="0" applyNumberFormat="1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14" fontId="7" fillId="0" borderId="32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81" fontId="10" fillId="0" borderId="4" xfId="0" applyNumberFormat="1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41" fontId="7" fillId="0" borderId="21" xfId="4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178" fontId="27" fillId="0" borderId="3" xfId="0" applyNumberFormat="1" applyFont="1" applyFill="1" applyBorder="1" applyAlignment="1">
      <alignment horizontal="left" vertical="center" wrapText="1"/>
    </xf>
    <xf numFmtId="178" fontId="27" fillId="0" borderId="4" xfId="0" applyNumberFormat="1" applyFont="1" applyFill="1" applyBorder="1" applyAlignment="1">
      <alignment horizontal="left" vertical="center" wrapText="1"/>
    </xf>
    <xf numFmtId="181" fontId="10" fillId="0" borderId="2" xfId="0" applyNumberFormat="1" applyFont="1" applyFill="1" applyBorder="1" applyAlignment="1">
      <alignment horizontal="center" vertical="center"/>
    </xf>
    <xf numFmtId="181" fontId="10" fillId="0" borderId="3" xfId="0" applyNumberFormat="1" applyFont="1" applyFill="1" applyBorder="1" applyAlignment="1">
      <alignment horizontal="center" vertical="center"/>
    </xf>
    <xf numFmtId="41" fontId="7" fillId="0" borderId="13" xfId="4" applyFont="1" applyFill="1" applyBorder="1" applyAlignment="1">
      <alignment horizontal="center" vertical="center" wrapText="1"/>
    </xf>
    <xf numFmtId="41" fontId="7" fillId="0" borderId="22" xfId="4" applyFont="1" applyFill="1" applyBorder="1" applyAlignment="1">
      <alignment horizontal="center" vertical="center" wrapText="1"/>
    </xf>
    <xf numFmtId="181" fontId="10" fillId="0" borderId="6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14" fontId="7" fillId="0" borderId="21" xfId="0" quotePrefix="1" applyNumberFormat="1" applyFont="1" applyFill="1" applyBorder="1" applyAlignment="1">
      <alignment horizontal="center" vertical="center"/>
    </xf>
    <xf numFmtId="14" fontId="7" fillId="0" borderId="13" xfId="0" quotePrefix="1" applyNumberFormat="1" applyFont="1" applyFill="1" applyBorder="1" applyAlignment="1">
      <alignment horizontal="center" vertical="center"/>
    </xf>
    <xf numFmtId="14" fontId="7" fillId="0" borderId="22" xfId="0" quotePrefix="1" applyNumberFormat="1" applyFont="1" applyFill="1" applyBorder="1" applyAlignment="1">
      <alignment horizontal="center" vertical="center"/>
    </xf>
    <xf numFmtId="14" fontId="7" fillId="0" borderId="4" xfId="0" applyNumberFormat="1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 wrapText="1"/>
    </xf>
    <xf numFmtId="14" fontId="7" fillId="0" borderId="11" xfId="0" applyNumberFormat="1" applyFont="1" applyFill="1" applyBorder="1" applyAlignment="1">
      <alignment horizontal="center" vertical="center" wrapText="1"/>
    </xf>
    <xf numFmtId="0" fontId="19" fillId="3" borderId="21" xfId="0" applyNumberFormat="1" applyFont="1" applyFill="1" applyBorder="1" applyAlignment="1">
      <alignment horizontal="center" vertical="center" wrapText="1"/>
    </xf>
    <xf numFmtId="0" fontId="19" fillId="3" borderId="13" xfId="0" applyNumberFormat="1" applyFont="1" applyFill="1" applyBorder="1" applyAlignment="1">
      <alignment horizontal="center" vertical="center" wrapText="1"/>
    </xf>
    <xf numFmtId="0" fontId="19" fillId="3" borderId="22" xfId="0" applyNumberFormat="1" applyFont="1" applyFill="1" applyBorder="1" applyAlignment="1">
      <alignment horizontal="center" vertical="center" wrapText="1"/>
    </xf>
    <xf numFmtId="0" fontId="7" fillId="0" borderId="21" xfId="0" applyNumberFormat="1" applyFont="1" applyFill="1" applyBorder="1" applyAlignment="1">
      <alignment horizontal="center" vertical="center" wrapText="1"/>
    </xf>
    <xf numFmtId="0" fontId="7" fillId="0" borderId="13" xfId="0" applyNumberFormat="1" applyFont="1" applyFill="1" applyBorder="1" applyAlignment="1">
      <alignment horizontal="center" vertical="center" wrapText="1"/>
    </xf>
    <xf numFmtId="0" fontId="7" fillId="0" borderId="22" xfId="0" applyNumberFormat="1" applyFont="1" applyFill="1" applyBorder="1" applyAlignment="1">
      <alignment horizontal="center" vertical="center" wrapText="1"/>
    </xf>
    <xf numFmtId="181" fontId="10" fillId="0" borderId="56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>
      <alignment horizontal="center" vertical="center"/>
    </xf>
    <xf numFmtId="14" fontId="7" fillId="0" borderId="6" xfId="0" quotePrefix="1" applyNumberFormat="1" applyFont="1" applyFill="1" applyBorder="1" applyAlignment="1">
      <alignment horizontal="center" vertical="center"/>
    </xf>
    <xf numFmtId="14" fontId="7" fillId="0" borderId="2" xfId="0" quotePrefix="1" applyNumberFormat="1" applyFont="1" applyFill="1" applyBorder="1" applyAlignment="1">
      <alignment horizontal="center" vertical="center"/>
    </xf>
    <xf numFmtId="181" fontId="10" fillId="0" borderId="13" xfId="0" applyNumberFormat="1" applyFont="1" applyFill="1" applyBorder="1" applyAlignment="1">
      <alignment horizontal="center" vertical="center" wrapText="1"/>
    </xf>
    <xf numFmtId="181" fontId="10" fillId="0" borderId="22" xfId="0" applyNumberFormat="1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center" wrapText="1"/>
    </xf>
    <xf numFmtId="14" fontId="7" fillId="0" borderId="22" xfId="0" applyNumberFormat="1" applyFont="1" applyFill="1" applyBorder="1" applyAlignment="1">
      <alignment horizontal="center" vertical="center" wrapText="1"/>
    </xf>
    <xf numFmtId="14" fontId="7" fillId="0" borderId="55" xfId="0" applyNumberFormat="1" applyFont="1" applyFill="1" applyBorder="1" applyAlignment="1">
      <alignment horizontal="center" vertical="center"/>
    </xf>
    <xf numFmtId="14" fontId="7" fillId="11" borderId="21" xfId="0" applyNumberFormat="1" applyFont="1" applyFill="1" applyBorder="1" applyAlignment="1">
      <alignment horizontal="center" vertical="center" wrapText="1"/>
    </xf>
    <xf numFmtId="14" fontId="7" fillId="11" borderId="13" xfId="0" applyNumberFormat="1" applyFont="1" applyFill="1" applyBorder="1" applyAlignment="1">
      <alignment horizontal="center" vertical="center"/>
    </xf>
    <xf numFmtId="14" fontId="7" fillId="11" borderId="22" xfId="0" applyNumberFormat="1" applyFont="1" applyFill="1" applyBorder="1" applyAlignment="1">
      <alignment horizontal="center" vertical="center"/>
    </xf>
    <xf numFmtId="14" fontId="7" fillId="0" borderId="68" xfId="0" applyNumberFormat="1" applyFont="1" applyFill="1" applyBorder="1" applyAlignment="1">
      <alignment horizontal="center" vertical="center" wrapText="1"/>
    </xf>
    <xf numFmtId="14" fontId="7" fillId="0" borderId="69" xfId="0" applyNumberFormat="1" applyFont="1" applyFill="1" applyBorder="1" applyAlignment="1">
      <alignment horizontal="center" vertical="center"/>
    </xf>
    <xf numFmtId="14" fontId="7" fillId="0" borderId="70" xfId="0" applyNumberFormat="1" applyFont="1" applyFill="1" applyBorder="1" applyAlignment="1">
      <alignment horizontal="center" vertical="center"/>
    </xf>
    <xf numFmtId="181" fontId="10" fillId="0" borderId="6" xfId="0" applyNumberFormat="1" applyFont="1" applyFill="1" applyBorder="1" applyAlignment="1">
      <alignment horizontal="center" vertical="center" wrapText="1"/>
    </xf>
    <xf numFmtId="181" fontId="10" fillId="0" borderId="2" xfId="0" applyNumberFormat="1" applyFont="1" applyFill="1" applyBorder="1" applyAlignment="1">
      <alignment horizontal="center" vertical="center" wrapText="1"/>
    </xf>
    <xf numFmtId="14" fontId="7" fillId="15" borderId="21" xfId="0" applyNumberFormat="1" applyFont="1" applyFill="1" applyBorder="1" applyAlignment="1">
      <alignment horizontal="center" vertical="center" wrapText="1"/>
    </xf>
    <xf numFmtId="14" fontId="7" fillId="15" borderId="13" xfId="0" applyNumberFormat="1" applyFont="1" applyFill="1" applyBorder="1" applyAlignment="1">
      <alignment horizontal="center" vertical="center" wrapText="1"/>
    </xf>
    <xf numFmtId="14" fontId="7" fillId="15" borderId="4" xfId="0" applyNumberFormat="1" applyFont="1" applyFill="1" applyBorder="1" applyAlignment="1">
      <alignment horizontal="center" vertical="center" wrapText="1"/>
    </xf>
    <xf numFmtId="0" fontId="7" fillId="0" borderId="5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  <xf numFmtId="14" fontId="7" fillId="0" borderId="31" xfId="0" applyNumberFormat="1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 wrapText="1"/>
    </xf>
    <xf numFmtId="14" fontId="7" fillId="0" borderId="19" xfId="0" applyNumberFormat="1" applyFont="1" applyBorder="1" applyAlignment="1">
      <alignment horizontal="center" vertical="center"/>
    </xf>
    <xf numFmtId="14" fontId="7" fillId="0" borderId="24" xfId="0" applyNumberFormat="1" applyFont="1" applyBorder="1" applyAlignment="1">
      <alignment horizontal="center" vertical="center"/>
    </xf>
    <xf numFmtId="14" fontId="7" fillId="0" borderId="23" xfId="0" applyNumberFormat="1" applyFont="1" applyFill="1" applyBorder="1" applyAlignment="1">
      <alignment horizontal="center" vertical="center"/>
    </xf>
    <xf numFmtId="14" fontId="7" fillId="0" borderId="19" xfId="0" applyNumberFormat="1" applyFont="1" applyFill="1" applyBorder="1" applyAlignment="1">
      <alignment horizontal="center" vertical="center"/>
    </xf>
    <xf numFmtId="14" fontId="7" fillId="0" borderId="24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wrapText="1"/>
    </xf>
    <xf numFmtId="178" fontId="10" fillId="0" borderId="21" xfId="0" applyNumberFormat="1" applyFont="1" applyFill="1" applyBorder="1" applyAlignment="1">
      <alignment horizontal="center" vertical="center" wrapText="1"/>
    </xf>
    <xf numFmtId="178" fontId="10" fillId="0" borderId="13" xfId="0" applyNumberFormat="1" applyFont="1" applyFill="1" applyBorder="1" applyAlignment="1">
      <alignment horizontal="center" vertical="center" wrapText="1"/>
    </xf>
    <xf numFmtId="178" fontId="10" fillId="0" borderId="22" xfId="0" applyNumberFormat="1" applyFont="1" applyFill="1" applyBorder="1" applyAlignment="1">
      <alignment horizontal="center" vertical="center" wrapText="1"/>
    </xf>
    <xf numFmtId="0" fontId="7" fillId="0" borderId="61" xfId="0" applyFont="1" applyFill="1" applyBorder="1" applyAlignment="1">
      <alignment horizontal="center" vertical="center"/>
    </xf>
    <xf numFmtId="14" fontId="7" fillId="0" borderId="23" xfId="0" applyNumberFormat="1" applyFont="1" applyFill="1" applyBorder="1" applyAlignment="1">
      <alignment horizontal="center" vertical="center" wrapText="1"/>
    </xf>
    <xf numFmtId="14" fontId="7" fillId="0" borderId="19" xfId="0" applyNumberFormat="1" applyFont="1" applyFill="1" applyBorder="1" applyAlignment="1">
      <alignment horizontal="center" vertical="center" wrapText="1"/>
    </xf>
    <xf numFmtId="14" fontId="7" fillId="0" borderId="24" xfId="0" applyNumberFormat="1" applyFont="1" applyFill="1" applyBorder="1" applyAlignment="1">
      <alignment horizontal="center" vertical="center" wrapText="1"/>
    </xf>
    <xf numFmtId="14" fontId="11" fillId="0" borderId="2" xfId="0" applyNumberFormat="1" applyFont="1" applyFill="1" applyBorder="1" applyAlignment="1">
      <alignment horizontal="center" vertical="center"/>
    </xf>
    <xf numFmtId="14" fontId="11" fillId="0" borderId="8" xfId="0" applyNumberFormat="1" applyFont="1" applyFill="1" applyBorder="1" applyAlignment="1">
      <alignment horizontal="center" vertical="center"/>
    </xf>
    <xf numFmtId="0" fontId="7" fillId="12" borderId="58" xfId="0" applyFont="1" applyFill="1" applyBorder="1" applyAlignment="1">
      <alignment horizontal="center" vertical="center"/>
    </xf>
    <xf numFmtId="0" fontId="7" fillId="12" borderId="59" xfId="0" applyFont="1" applyFill="1" applyBorder="1" applyAlignment="1">
      <alignment horizontal="center" vertical="center"/>
    </xf>
    <xf numFmtId="14" fontId="7" fillId="0" borderId="68" xfId="0" applyNumberFormat="1" applyFont="1" applyFill="1" applyBorder="1" applyAlignment="1">
      <alignment horizontal="center" vertical="center"/>
    </xf>
    <xf numFmtId="14" fontId="24" fillId="0" borderId="13" xfId="0" applyNumberFormat="1" applyFont="1" applyFill="1" applyBorder="1" applyAlignment="1">
      <alignment horizontal="center" vertical="center" wrapText="1"/>
    </xf>
    <xf numFmtId="14" fontId="24" fillId="0" borderId="22" xfId="0" applyNumberFormat="1" applyFont="1" applyFill="1" applyBorder="1" applyAlignment="1">
      <alignment horizontal="center" vertical="center" wrapText="1"/>
    </xf>
    <xf numFmtId="0" fontId="7" fillId="0" borderId="65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/>
    </xf>
    <xf numFmtId="14" fontId="7" fillId="11" borderId="13" xfId="0" applyNumberFormat="1" applyFont="1" applyFill="1" applyBorder="1" applyAlignment="1">
      <alignment horizontal="center" vertical="center" wrapText="1"/>
    </xf>
    <xf numFmtId="14" fontId="7" fillId="11" borderId="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/>
    </xf>
    <xf numFmtId="0" fontId="7" fillId="15" borderId="22" xfId="0" applyFont="1" applyFill="1" applyBorder="1" applyAlignment="1">
      <alignment horizontal="center" vertical="center"/>
    </xf>
    <xf numFmtId="14" fontId="7" fillId="11" borderId="21" xfId="0" applyNumberFormat="1" applyFont="1" applyFill="1" applyBorder="1" applyAlignment="1">
      <alignment horizontal="center" vertical="center"/>
    </xf>
    <xf numFmtId="14" fontId="7" fillId="11" borderId="4" xfId="0" applyNumberFormat="1" applyFont="1" applyFill="1" applyBorder="1" applyAlignment="1">
      <alignment horizontal="center" vertical="center"/>
    </xf>
    <xf numFmtId="14" fontId="7" fillId="0" borderId="56" xfId="0" applyNumberFormat="1" applyFont="1" applyFill="1" applyBorder="1" applyAlignment="1">
      <alignment horizontal="center" vertical="center"/>
    </xf>
    <xf numFmtId="14" fontId="6" fillId="3" borderId="43" xfId="0" applyNumberFormat="1" applyFont="1" applyFill="1" applyBorder="1" applyAlignment="1">
      <alignment horizontal="center" vertical="center" wrapText="1"/>
    </xf>
    <xf numFmtId="14" fontId="6" fillId="3" borderId="38" xfId="0" applyNumberFormat="1" applyFont="1" applyFill="1" applyBorder="1" applyAlignment="1">
      <alignment horizontal="center" vertical="center" wrapText="1"/>
    </xf>
    <xf numFmtId="14" fontId="7" fillId="15" borderId="22" xfId="0" applyNumberFormat="1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178" fontId="9" fillId="2" borderId="43" xfId="0" applyNumberFormat="1" applyFont="1" applyFill="1" applyBorder="1" applyAlignment="1">
      <alignment horizontal="center" vertical="center" wrapText="1"/>
    </xf>
    <xf numFmtId="178" fontId="9" fillId="2" borderId="44" xfId="0" applyNumberFormat="1" applyFont="1" applyFill="1" applyBorder="1" applyAlignment="1">
      <alignment horizontal="center" vertical="center" wrapText="1"/>
    </xf>
    <xf numFmtId="178" fontId="9" fillId="2" borderId="38" xfId="0" applyNumberFormat="1" applyFont="1" applyFill="1" applyBorder="1" applyAlignment="1">
      <alignment horizontal="center" vertical="center" wrapText="1"/>
    </xf>
    <xf numFmtId="178" fontId="9" fillId="2" borderId="38" xfId="0" applyNumberFormat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 wrapText="1"/>
    </xf>
    <xf numFmtId="178" fontId="9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7" fillId="0" borderId="31" xfId="0" applyNumberFormat="1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center" vertical="center" wrapText="1"/>
    </xf>
    <xf numFmtId="9" fontId="17" fillId="2" borderId="1" xfId="1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/>
    </xf>
    <xf numFmtId="0" fontId="7" fillId="0" borderId="71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14" fontId="7" fillId="0" borderId="69" xfId="0" applyNumberFormat="1" applyFont="1" applyFill="1" applyBorder="1" applyAlignment="1">
      <alignment horizontal="center" vertical="center" wrapText="1"/>
    </xf>
    <xf numFmtId="14" fontId="7" fillId="0" borderId="70" xfId="0" applyNumberFormat="1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7" fillId="11" borderId="2" xfId="0" applyNumberFormat="1" applyFont="1" applyFill="1" applyBorder="1" applyAlignment="1">
      <alignment horizontal="center" vertical="center"/>
    </xf>
    <xf numFmtId="14" fontId="7" fillId="19" borderId="21" xfId="0" applyNumberFormat="1" applyFont="1" applyFill="1" applyBorder="1" applyAlignment="1">
      <alignment horizontal="center" vertical="center"/>
    </xf>
    <xf numFmtId="14" fontId="7" fillId="19" borderId="13" xfId="0" applyNumberFormat="1" applyFont="1" applyFill="1" applyBorder="1" applyAlignment="1">
      <alignment horizontal="center" vertical="center"/>
    </xf>
    <xf numFmtId="14" fontId="7" fillId="20" borderId="3" xfId="0" applyNumberFormat="1" applyFont="1" applyFill="1" applyBorder="1" applyAlignment="1">
      <alignment horizontal="center" vertical="center"/>
    </xf>
    <xf numFmtId="14" fontId="7" fillId="20" borderId="13" xfId="0" applyNumberFormat="1" applyFont="1" applyFill="1" applyBorder="1" applyAlignment="1">
      <alignment horizontal="center" vertical="center"/>
    </xf>
    <xf numFmtId="14" fontId="7" fillId="20" borderId="4" xfId="0" applyNumberFormat="1" applyFont="1" applyFill="1" applyBorder="1" applyAlignment="1">
      <alignment horizontal="center" vertical="center"/>
    </xf>
    <xf numFmtId="14" fontId="11" fillId="13" borderId="21" xfId="0" applyNumberFormat="1" applyFont="1" applyFill="1" applyBorder="1" applyAlignment="1">
      <alignment horizontal="center" vertical="center"/>
    </xf>
    <xf numFmtId="14" fontId="11" fillId="13" borderId="13" xfId="0" applyNumberFormat="1" applyFont="1" applyFill="1" applyBorder="1" applyAlignment="1">
      <alignment horizontal="center" vertical="center"/>
    </xf>
    <xf numFmtId="14" fontId="11" fillId="13" borderId="22" xfId="0" applyNumberFormat="1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14" fontId="23" fillId="0" borderId="21" xfId="0" applyNumberFormat="1" applyFont="1" applyFill="1" applyBorder="1" applyAlignment="1">
      <alignment horizontal="center" vertical="center" wrapText="1"/>
    </xf>
    <xf numFmtId="14" fontId="23" fillId="0" borderId="13" xfId="0" applyNumberFormat="1" applyFont="1" applyFill="1" applyBorder="1" applyAlignment="1">
      <alignment horizontal="center" vertical="center" wrapText="1"/>
    </xf>
    <xf numFmtId="14" fontId="23" fillId="0" borderId="22" xfId="0" applyNumberFormat="1" applyFont="1" applyFill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7" fillId="0" borderId="13" xfId="0" applyNumberFormat="1" applyFont="1" applyFill="1" applyBorder="1" applyAlignment="1">
      <alignment horizontal="center" vertical="center" wrapText="1"/>
    </xf>
    <xf numFmtId="176" fontId="7" fillId="0" borderId="22" xfId="0" applyNumberFormat="1" applyFont="1" applyFill="1" applyBorder="1" applyAlignment="1">
      <alignment horizontal="center" vertical="center" wrapText="1"/>
    </xf>
    <xf numFmtId="14" fontId="7" fillId="0" borderId="6" xfId="0" applyNumberFormat="1" applyFont="1" applyFill="1" applyBorder="1" applyAlignment="1">
      <alignment horizontal="center" vertical="center" wrapText="1"/>
    </xf>
    <xf numFmtId="178" fontId="8" fillId="0" borderId="21" xfId="0" applyNumberFormat="1" applyFont="1" applyFill="1" applyBorder="1" applyAlignment="1">
      <alignment horizontal="center" vertical="center"/>
    </xf>
    <xf numFmtId="178" fontId="8" fillId="0" borderId="22" xfId="0" applyNumberFormat="1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7" fillId="11" borderId="2" xfId="0" applyNumberFormat="1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181" fontId="10" fillId="0" borderId="21" xfId="3" applyNumberFormat="1" applyFont="1" applyFill="1" applyBorder="1" applyAlignment="1">
      <alignment horizontal="center" vertical="center"/>
    </xf>
    <xf numFmtId="181" fontId="10" fillId="0" borderId="13" xfId="3" applyNumberFormat="1" applyFont="1" applyFill="1" applyBorder="1" applyAlignment="1">
      <alignment horizontal="center" vertical="center"/>
    </xf>
    <xf numFmtId="181" fontId="10" fillId="0" borderId="22" xfId="3" applyNumberFormat="1" applyFont="1" applyFill="1" applyBorder="1" applyAlignment="1">
      <alignment horizontal="center" vertical="center"/>
    </xf>
    <xf numFmtId="14" fontId="7" fillId="19" borderId="22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/>
    </xf>
    <xf numFmtId="0" fontId="10" fillId="15" borderId="2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14" fontId="7" fillId="21" borderId="21" xfId="0" applyNumberFormat="1" applyFont="1" applyFill="1" applyBorder="1" applyAlignment="1">
      <alignment horizontal="center" vertical="center" wrapText="1"/>
    </xf>
    <xf numFmtId="14" fontId="7" fillId="21" borderId="4" xfId="0" applyNumberFormat="1" applyFont="1" applyFill="1" applyBorder="1" applyAlignment="1">
      <alignment horizontal="center" vertical="center"/>
    </xf>
    <xf numFmtId="0" fontId="7" fillId="21" borderId="21" xfId="0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center" vertical="center"/>
    </xf>
    <xf numFmtId="178" fontId="10" fillId="15" borderId="21" xfId="0" applyNumberFormat="1" applyFont="1" applyFill="1" applyBorder="1" applyAlignment="1">
      <alignment horizontal="center" vertical="center" wrapText="1"/>
    </xf>
    <xf numFmtId="178" fontId="10" fillId="15" borderId="13" xfId="0" applyNumberFormat="1" applyFont="1" applyFill="1" applyBorder="1" applyAlignment="1">
      <alignment horizontal="center" vertical="center" wrapText="1"/>
    </xf>
    <xf numFmtId="178" fontId="10" fillId="15" borderId="22" xfId="0" applyNumberFormat="1" applyFont="1" applyFill="1" applyBorder="1" applyAlignment="1">
      <alignment horizontal="center" vertical="center" wrapText="1"/>
    </xf>
    <xf numFmtId="0" fontId="7" fillId="12" borderId="21" xfId="0" applyFont="1" applyFill="1" applyBorder="1" applyAlignment="1">
      <alignment horizontal="center" vertical="center" wrapText="1"/>
    </xf>
    <xf numFmtId="0" fontId="7" fillId="0" borderId="13" xfId="0" applyNumberFormat="1" applyFont="1" applyBorder="1" applyAlignment="1">
      <alignment horizontal="center" vertical="center"/>
    </xf>
    <xf numFmtId="0" fontId="7" fillId="0" borderId="22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 wrapText="1"/>
    </xf>
    <xf numFmtId="178" fontId="10" fillId="0" borderId="13" xfId="0" applyNumberFormat="1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14" fontId="10" fillId="15" borderId="21" xfId="0" applyNumberFormat="1" applyFont="1" applyFill="1" applyBorder="1" applyAlignment="1">
      <alignment horizontal="center" vertical="center" wrapText="1"/>
    </xf>
    <xf numFmtId="14" fontId="10" fillId="15" borderId="13" xfId="0" applyNumberFormat="1" applyFont="1" applyFill="1" applyBorder="1" applyAlignment="1">
      <alignment horizontal="center" vertical="center" wrapText="1"/>
    </xf>
    <xf numFmtId="14" fontId="10" fillId="15" borderId="22" xfId="0" applyNumberFormat="1" applyFont="1" applyFill="1" applyBorder="1" applyAlignment="1">
      <alignment horizontal="center" vertical="center" wrapText="1"/>
    </xf>
    <xf numFmtId="178" fontId="10" fillId="15" borderId="4" xfId="0" applyNumberFormat="1" applyFont="1" applyFill="1" applyBorder="1" applyAlignment="1">
      <alignment horizontal="center" vertical="center"/>
    </xf>
    <xf numFmtId="0" fontId="7" fillId="0" borderId="21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14" fontId="10" fillId="0" borderId="21" xfId="0" applyNumberFormat="1" applyFont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 wrapText="1"/>
    </xf>
    <xf numFmtId="14" fontId="10" fillId="0" borderId="22" xfId="0" applyNumberFormat="1" applyFont="1" applyBorder="1" applyAlignment="1">
      <alignment horizontal="center" vertical="center" wrapText="1"/>
    </xf>
    <xf numFmtId="178" fontId="8" fillId="0" borderId="21" xfId="0" applyNumberFormat="1" applyFont="1" applyFill="1" applyBorder="1" applyAlignment="1">
      <alignment horizontal="center" vertical="center" wrapText="1"/>
    </xf>
    <xf numFmtId="178" fontId="8" fillId="0" borderId="13" xfId="0" applyNumberFormat="1" applyFont="1" applyFill="1" applyBorder="1" applyAlignment="1">
      <alignment horizontal="center" vertical="center" wrapText="1"/>
    </xf>
    <xf numFmtId="178" fontId="8" fillId="0" borderId="4" xfId="0" applyNumberFormat="1" applyFont="1" applyFill="1" applyBorder="1" applyAlignment="1">
      <alignment horizontal="center" vertical="center" wrapText="1"/>
    </xf>
    <xf numFmtId="178" fontId="8" fillId="0" borderId="3" xfId="0" applyNumberFormat="1" applyFont="1" applyFill="1" applyBorder="1" applyAlignment="1">
      <alignment horizontal="center" vertical="center" wrapText="1"/>
    </xf>
    <xf numFmtId="178" fontId="8" fillId="0" borderId="22" xfId="0" applyNumberFormat="1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7" fillId="0" borderId="68" xfId="0" applyFont="1" applyFill="1" applyBorder="1" applyAlignment="1">
      <alignment horizontal="center" vertical="center" wrapText="1"/>
    </xf>
    <xf numFmtId="0" fontId="7" fillId="0" borderId="69" xfId="0" applyFont="1" applyFill="1" applyBorder="1" applyAlignment="1">
      <alignment horizontal="center" vertical="center" wrapText="1"/>
    </xf>
    <xf numFmtId="0" fontId="7" fillId="0" borderId="70" xfId="0" applyFont="1" applyFill="1" applyBorder="1" applyAlignment="1">
      <alignment horizontal="center" vertical="center" wrapText="1"/>
    </xf>
    <xf numFmtId="14" fontId="7" fillId="11" borderId="3" xfId="0" applyNumberFormat="1" applyFont="1" applyFill="1" applyBorder="1" applyAlignment="1">
      <alignment horizontal="center" vertical="center" wrapText="1"/>
    </xf>
    <xf numFmtId="14" fontId="7" fillId="11" borderId="22" xfId="0" applyNumberFormat="1" applyFont="1" applyFill="1" applyBorder="1" applyAlignment="1">
      <alignment horizontal="center" vertical="center" wrapText="1"/>
    </xf>
  </cellXfs>
  <cellStyles count="6">
    <cellStyle name="60% - 강조색6" xfId="2" builtinId="52"/>
    <cellStyle name="메모" xfId="3" builtinId="10"/>
    <cellStyle name="백분율" xfId="1" builtinId="5"/>
    <cellStyle name="쉼표 [0]" xfId="4" builtinId="6"/>
    <cellStyle name="쉼표 [0] 2" xfId="5"/>
    <cellStyle name="표준" xfId="0" builtinId="0"/>
  </cellStyles>
  <dxfs count="17"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rgb="FFFF3737"/>
        </patternFill>
      </fill>
    </dxf>
    <dxf>
      <fill>
        <patternFill>
          <bgColor rgb="FFFF3737"/>
        </patternFill>
      </fill>
    </dxf>
    <dxf>
      <fill>
        <patternFill>
          <bgColor rgb="FFFF3737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66"/>
      <color rgb="FF0000FF"/>
      <color rgb="FFCCCCFF"/>
      <color rgb="FFCCFFFF"/>
      <color rgb="FFFF3737"/>
      <color rgb="FF009900"/>
      <color rgb="FFD9A8FE"/>
      <color rgb="FFE6C6FE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  <pageSetUpPr fitToPage="1"/>
  </sheetPr>
  <dimension ref="A1:AS1835"/>
  <sheetViews>
    <sheetView showGridLines="0" tabSelected="1" zoomScaleNormal="100" workbookViewId="0">
      <pane xSplit="5" ySplit="3" topLeftCell="F4" activePane="bottomRight" state="frozen"/>
      <selection activeCell="B1" sqref="B1"/>
      <selection pane="topRight" activeCell="G1" sqref="G1"/>
      <selection pane="bottomLeft" activeCell="B5" sqref="B5"/>
      <selection pane="bottomRight" activeCell="B4" sqref="B4:B15"/>
    </sheetView>
  </sheetViews>
  <sheetFormatPr defaultColWidth="9" defaultRowHeight="17.100000000000001" customHeight="1" x14ac:dyDescent="0.3"/>
  <cols>
    <col min="1" max="1" width="10.625" style="47" customWidth="1"/>
    <col min="2" max="2" width="18.875" style="12" customWidth="1"/>
    <col min="3" max="3" width="8.25" style="12" customWidth="1"/>
    <col min="4" max="4" width="8.125" style="12" customWidth="1"/>
    <col min="5" max="5" width="29.5" style="48" customWidth="1"/>
    <col min="6" max="6" width="17.625" style="48" customWidth="1"/>
    <col min="7" max="7" width="7.375" style="49" customWidth="1"/>
    <col min="8" max="8" width="12" style="47" customWidth="1"/>
    <col min="9" max="9" width="8.375" style="50" customWidth="1"/>
    <col min="10" max="10" width="9.75" style="49" customWidth="1"/>
    <col min="11" max="11" width="12.125" style="66" customWidth="1"/>
    <col min="12" max="12" width="8.625" style="66" customWidth="1"/>
    <col min="13" max="13" width="6.375" style="66" customWidth="1"/>
    <col min="14" max="16" width="10" style="49" customWidth="1"/>
    <col min="17" max="17" width="6.5" style="49" customWidth="1"/>
    <col min="18" max="18" width="11.125" style="49" customWidth="1"/>
    <col min="19" max="19" width="10.875" style="47" customWidth="1"/>
    <col min="20" max="20" width="10" style="47" customWidth="1"/>
    <col min="21" max="21" width="10" style="49" customWidth="1"/>
    <col min="22" max="22" width="10" style="14" customWidth="1"/>
    <col min="23" max="23" width="6" style="14" customWidth="1"/>
    <col min="24" max="24" width="11.125" style="49" customWidth="1"/>
    <col min="25" max="25" width="23.125" style="47" customWidth="1"/>
    <col min="26" max="26" width="9.75" style="350" customWidth="1"/>
    <col min="27" max="29" width="9.75" style="66" customWidth="1"/>
    <col min="30" max="30" width="21.875" style="66" customWidth="1"/>
    <col min="31" max="31" width="7.875" style="38" hidden="1" customWidth="1"/>
    <col min="32" max="32" width="7.125" style="39" hidden="1" customWidth="1"/>
    <col min="33" max="33" width="9.375" style="52" customWidth="1"/>
    <col min="34" max="34" width="11" style="52" hidden="1" customWidth="1"/>
    <col min="35" max="35" width="0" style="39" hidden="1" customWidth="1"/>
    <col min="36" max="36" width="37" style="39" hidden="1" customWidth="1"/>
    <col min="37" max="38" width="0" style="39" hidden="1" customWidth="1"/>
    <col min="39" max="39" width="16.875" style="39" customWidth="1"/>
    <col min="40" max="16384" width="9" style="39"/>
  </cols>
  <sheetData>
    <row r="1" spans="1:39" s="1" customFormat="1" ht="17.100000000000001" customHeight="1" x14ac:dyDescent="0.3">
      <c r="A1" s="1138" t="s">
        <v>0</v>
      </c>
      <c r="B1" s="1133" t="s">
        <v>123</v>
      </c>
      <c r="C1" s="1133" t="s">
        <v>6</v>
      </c>
      <c r="D1" s="1133" t="s">
        <v>56</v>
      </c>
      <c r="E1" s="1133" t="s">
        <v>709</v>
      </c>
      <c r="F1" s="1116" t="s">
        <v>468</v>
      </c>
      <c r="G1" s="1117"/>
      <c r="H1" s="1122" t="s">
        <v>471</v>
      </c>
      <c r="I1" s="1122"/>
      <c r="J1" s="1140" t="s">
        <v>692</v>
      </c>
      <c r="K1" s="1125" t="s">
        <v>691</v>
      </c>
      <c r="L1" s="1125" t="s">
        <v>487</v>
      </c>
      <c r="M1" s="1125" t="s">
        <v>404</v>
      </c>
      <c r="N1" s="1123" t="s">
        <v>284</v>
      </c>
      <c r="O1" s="1154"/>
      <c r="P1" s="1154"/>
      <c r="Q1" s="1154"/>
      <c r="R1" s="1154"/>
      <c r="S1" s="1124"/>
      <c r="T1" s="1164" t="s">
        <v>280</v>
      </c>
      <c r="U1" s="1165"/>
      <c r="V1" s="1165"/>
      <c r="W1" s="1165"/>
      <c r="X1" s="1165"/>
      <c r="Y1" s="1166"/>
      <c r="Z1" s="1132" t="s">
        <v>150</v>
      </c>
      <c r="AA1" s="1131" t="s">
        <v>694</v>
      </c>
      <c r="AB1" s="1131" t="s">
        <v>346</v>
      </c>
      <c r="AC1" s="1131" t="s">
        <v>352</v>
      </c>
      <c r="AD1" s="1125" t="s">
        <v>377</v>
      </c>
      <c r="AE1" s="1130" t="s">
        <v>135</v>
      </c>
      <c r="AF1" s="1130" t="s">
        <v>94</v>
      </c>
      <c r="AG1" s="2"/>
      <c r="AI1" s="51"/>
      <c r="AJ1" s="51"/>
      <c r="AM1" s="1125" t="s">
        <v>378</v>
      </c>
    </row>
    <row r="2" spans="1:39" s="1" customFormat="1" ht="17.100000000000001" customHeight="1" thickBot="1" x14ac:dyDescent="0.35">
      <c r="A2" s="1138"/>
      <c r="B2" s="1133"/>
      <c r="C2" s="1133"/>
      <c r="D2" s="1133"/>
      <c r="E2" s="1133"/>
      <c r="F2" s="1142" t="s">
        <v>469</v>
      </c>
      <c r="G2" s="1142" t="s">
        <v>470</v>
      </c>
      <c r="H2" s="1122" t="s">
        <v>288</v>
      </c>
      <c r="I2" s="1153" t="s">
        <v>287</v>
      </c>
      <c r="J2" s="1140"/>
      <c r="K2" s="1126"/>
      <c r="L2" s="1126"/>
      <c r="M2" s="1126"/>
      <c r="N2" s="1107" t="s">
        <v>187</v>
      </c>
      <c r="O2" s="1107" t="s">
        <v>279</v>
      </c>
      <c r="P2" s="1107" t="s">
        <v>696</v>
      </c>
      <c r="Q2" s="1107"/>
      <c r="R2" s="1123" t="s">
        <v>461</v>
      </c>
      <c r="S2" s="1124"/>
      <c r="T2" s="1120" t="s">
        <v>281</v>
      </c>
      <c r="U2" s="1113" t="s">
        <v>282</v>
      </c>
      <c r="V2" s="1113" t="s">
        <v>283</v>
      </c>
      <c r="W2" s="1113"/>
      <c r="X2" s="379" t="s">
        <v>463</v>
      </c>
      <c r="Y2" s="1120" t="s">
        <v>322</v>
      </c>
      <c r="Z2" s="1132"/>
      <c r="AA2" s="1131"/>
      <c r="AB2" s="1131"/>
      <c r="AC2" s="1131"/>
      <c r="AD2" s="1126"/>
      <c r="AE2" s="1130"/>
      <c r="AF2" s="1130"/>
      <c r="AG2" s="2"/>
      <c r="AI2" s="51"/>
      <c r="AJ2" s="51"/>
      <c r="AM2" s="1126"/>
    </row>
    <row r="3" spans="1:39" s="4" customFormat="1" ht="33.75" customHeight="1" thickBot="1" x14ac:dyDescent="0.35">
      <c r="A3" s="1138"/>
      <c r="B3" s="1133"/>
      <c r="C3" s="1133"/>
      <c r="D3" s="1133"/>
      <c r="E3" s="1133"/>
      <c r="F3" s="1143"/>
      <c r="G3" s="1143"/>
      <c r="H3" s="1122"/>
      <c r="I3" s="1153"/>
      <c r="J3" s="1140"/>
      <c r="K3" s="1128"/>
      <c r="L3" s="1127"/>
      <c r="M3" s="1128"/>
      <c r="N3" s="1107"/>
      <c r="O3" s="1107"/>
      <c r="P3" s="1107"/>
      <c r="Q3" s="1107"/>
      <c r="R3" s="479" t="s">
        <v>617</v>
      </c>
      <c r="S3" s="304" t="s">
        <v>462</v>
      </c>
      <c r="T3" s="1121"/>
      <c r="U3" s="1114"/>
      <c r="V3" s="1114"/>
      <c r="W3" s="1114"/>
      <c r="X3" s="371" t="s">
        <v>578</v>
      </c>
      <c r="Y3" s="1121"/>
      <c r="Z3" s="1132"/>
      <c r="AA3" s="1131"/>
      <c r="AB3" s="1131"/>
      <c r="AC3" s="1131"/>
      <c r="AD3" s="1128"/>
      <c r="AE3" s="1130"/>
      <c r="AF3" s="1130"/>
      <c r="AG3" s="3"/>
      <c r="AH3" s="104" t="s">
        <v>155</v>
      </c>
      <c r="AI3" s="105" t="s">
        <v>156</v>
      </c>
      <c r="AJ3" s="105" t="s">
        <v>157</v>
      </c>
      <c r="AK3" s="106" t="s">
        <v>158</v>
      </c>
      <c r="AL3" s="107" t="s">
        <v>159</v>
      </c>
      <c r="AM3" s="1128"/>
    </row>
    <row r="4" spans="1:39" s="10" customFormat="1" ht="17.100000000000001" customHeight="1" x14ac:dyDescent="0.3">
      <c r="A4" s="1082">
        <v>46203</v>
      </c>
      <c r="B4" s="926" t="s">
        <v>996</v>
      </c>
      <c r="C4" s="1136" t="s">
        <v>900</v>
      </c>
      <c r="D4" s="926">
        <v>1</v>
      </c>
      <c r="E4" s="5" t="s">
        <v>582</v>
      </c>
      <c r="F4" s="235">
        <v>170</v>
      </c>
      <c r="G4" s="396">
        <v>47</v>
      </c>
      <c r="H4" s="148">
        <v>46163</v>
      </c>
      <c r="I4" s="7">
        <v>0.7</v>
      </c>
      <c r="J4" s="942" t="s">
        <v>347</v>
      </c>
      <c r="K4" s="345"/>
      <c r="L4" s="616"/>
      <c r="M4" s="943" t="s">
        <v>615</v>
      </c>
      <c r="N4" s="888">
        <v>42930</v>
      </c>
      <c r="O4" s="888">
        <v>45798</v>
      </c>
      <c r="P4" s="888">
        <v>46082</v>
      </c>
      <c r="Q4" s="888" t="s">
        <v>293</v>
      </c>
      <c r="R4" s="895" t="s">
        <v>960</v>
      </c>
      <c r="S4" s="934" t="s">
        <v>1025</v>
      </c>
      <c r="T4" s="871">
        <v>42942</v>
      </c>
      <c r="U4" s="871">
        <v>45875</v>
      </c>
      <c r="V4" s="871">
        <v>46239</v>
      </c>
      <c r="W4" s="871" t="s">
        <v>631</v>
      </c>
      <c r="X4" s="895" t="s">
        <v>960</v>
      </c>
      <c r="Y4" s="959" t="s">
        <v>717</v>
      </c>
      <c r="Z4" s="897">
        <v>46076</v>
      </c>
      <c r="AA4" s="878" t="s">
        <v>353</v>
      </c>
      <c r="AB4" s="878" t="s">
        <v>354</v>
      </c>
      <c r="AC4" s="881">
        <v>1850000</v>
      </c>
      <c r="AD4" s="56"/>
      <c r="AE4" s="78"/>
      <c r="AF4" s="57"/>
      <c r="AG4" s="9" t="s">
        <v>137</v>
      </c>
      <c r="AH4" s="1029" t="s">
        <v>165</v>
      </c>
      <c r="AI4" s="918" t="s">
        <v>166</v>
      </c>
      <c r="AJ4" s="1026" t="s">
        <v>160</v>
      </c>
      <c r="AK4" s="918"/>
      <c r="AL4" s="1028"/>
      <c r="AM4" s="56"/>
    </row>
    <row r="5" spans="1:39" s="10" customFormat="1" ht="17.100000000000001" customHeight="1" x14ac:dyDescent="0.3">
      <c r="A5" s="1083"/>
      <c r="B5" s="927" t="s">
        <v>57</v>
      </c>
      <c r="C5" s="995" t="s">
        <v>8</v>
      </c>
      <c r="D5" s="927">
        <v>1</v>
      </c>
      <c r="E5" s="11" t="s">
        <v>100</v>
      </c>
      <c r="F5" s="233">
        <v>0.2102</v>
      </c>
      <c r="G5" s="146">
        <v>30</v>
      </c>
      <c r="H5" s="149">
        <v>46415</v>
      </c>
      <c r="I5" s="13">
        <v>0.94</v>
      </c>
      <c r="J5" s="985" t="s">
        <v>9</v>
      </c>
      <c r="K5" s="343"/>
      <c r="L5" s="824"/>
      <c r="M5" s="944"/>
      <c r="N5" s="954"/>
      <c r="O5" s="954"/>
      <c r="P5" s="954"/>
      <c r="Q5" s="954"/>
      <c r="R5" s="896"/>
      <c r="S5" s="1108"/>
      <c r="T5" s="927"/>
      <c r="U5" s="872"/>
      <c r="V5" s="872"/>
      <c r="W5" s="872"/>
      <c r="X5" s="896"/>
      <c r="Y5" s="1059"/>
      <c r="Z5" s="876"/>
      <c r="AA5" s="879"/>
      <c r="AB5" s="879"/>
      <c r="AC5" s="882"/>
      <c r="AD5" s="58"/>
      <c r="AE5" s="79"/>
      <c r="AF5" s="59"/>
      <c r="AG5" s="9"/>
      <c r="AH5" s="928"/>
      <c r="AI5" s="915"/>
      <c r="AJ5" s="917"/>
      <c r="AK5" s="915"/>
      <c r="AL5" s="933"/>
      <c r="AM5" s="58"/>
    </row>
    <row r="6" spans="1:39" s="10" customFormat="1" ht="17.100000000000001" customHeight="1" x14ac:dyDescent="0.3">
      <c r="A6" s="1083"/>
      <c r="B6" s="927" t="s">
        <v>45</v>
      </c>
      <c r="C6" s="995" t="s">
        <v>58</v>
      </c>
      <c r="D6" s="927">
        <v>1</v>
      </c>
      <c r="E6" s="11" t="s">
        <v>49</v>
      </c>
      <c r="F6" s="216" t="s">
        <v>50</v>
      </c>
      <c r="G6" s="397">
        <v>47</v>
      </c>
      <c r="H6" s="149">
        <f>H4</f>
        <v>46163</v>
      </c>
      <c r="I6" s="13">
        <v>1</v>
      </c>
      <c r="J6" s="985" t="s">
        <v>9</v>
      </c>
      <c r="K6" s="343"/>
      <c r="L6" s="824"/>
      <c r="M6" s="944"/>
      <c r="N6" s="873">
        <v>45428</v>
      </c>
      <c r="O6" s="889"/>
      <c r="P6" s="921">
        <v>46082</v>
      </c>
      <c r="Q6" s="921" t="s">
        <v>618</v>
      </c>
      <c r="R6" s="896"/>
      <c r="S6" s="1108"/>
      <c r="T6" s="927"/>
      <c r="U6" s="872"/>
      <c r="V6" s="872"/>
      <c r="W6" s="872"/>
      <c r="X6" s="896"/>
      <c r="Y6" s="1059"/>
      <c r="Z6" s="876"/>
      <c r="AA6" s="879"/>
      <c r="AB6" s="879"/>
      <c r="AC6" s="882"/>
      <c r="AD6" s="58"/>
      <c r="AE6" s="79"/>
      <c r="AF6" s="59"/>
      <c r="AG6" s="9"/>
      <c r="AH6" s="928"/>
      <c r="AI6" s="915"/>
      <c r="AJ6" s="917"/>
      <c r="AK6" s="915"/>
      <c r="AL6" s="933"/>
      <c r="AM6" s="58"/>
    </row>
    <row r="7" spans="1:39" s="10" customFormat="1" ht="17.100000000000001" customHeight="1" x14ac:dyDescent="0.3">
      <c r="A7" s="1083"/>
      <c r="B7" s="927" t="s">
        <v>57</v>
      </c>
      <c r="C7" s="1137" t="s">
        <v>59</v>
      </c>
      <c r="D7" s="923">
        <v>1</v>
      </c>
      <c r="E7" s="181" t="s">
        <v>51</v>
      </c>
      <c r="F7" s="234">
        <v>0.02</v>
      </c>
      <c r="G7" s="182">
        <v>30</v>
      </c>
      <c r="H7" s="183">
        <v>46415</v>
      </c>
      <c r="I7" s="184">
        <v>0.95</v>
      </c>
      <c r="J7" s="985" t="s">
        <v>9</v>
      </c>
      <c r="K7" s="343"/>
      <c r="L7" s="824"/>
      <c r="M7" s="944"/>
      <c r="N7" s="954"/>
      <c r="O7" s="902"/>
      <c r="P7" s="902"/>
      <c r="Q7" s="954"/>
      <c r="R7" s="896"/>
      <c r="S7" s="1108"/>
      <c r="T7" s="927"/>
      <c r="U7" s="872"/>
      <c r="V7" s="872"/>
      <c r="W7" s="872"/>
      <c r="X7" s="896"/>
      <c r="Y7" s="1059"/>
      <c r="Z7" s="876"/>
      <c r="AA7" s="879"/>
      <c r="AB7" s="879"/>
      <c r="AC7" s="882"/>
      <c r="AD7" s="58"/>
      <c r="AE7" s="79"/>
      <c r="AF7" s="59"/>
      <c r="AG7" s="9"/>
      <c r="AH7" s="928"/>
      <c r="AI7" s="915"/>
      <c r="AJ7" s="917"/>
      <c r="AK7" s="915"/>
      <c r="AL7" s="933"/>
      <c r="AM7" s="58"/>
    </row>
    <row r="8" spans="1:39" s="10" customFormat="1" ht="16.5" customHeight="1" x14ac:dyDescent="0.3">
      <c r="A8" s="1083"/>
      <c r="B8" s="927" t="s">
        <v>45</v>
      </c>
      <c r="C8" s="902" t="s">
        <v>11</v>
      </c>
      <c r="D8" s="902">
        <v>2</v>
      </c>
      <c r="E8" s="91" t="s">
        <v>583</v>
      </c>
      <c r="F8" s="236">
        <v>170</v>
      </c>
      <c r="G8" s="156" t="s">
        <v>591</v>
      </c>
      <c r="H8" s="152">
        <f>H4</f>
        <v>46163</v>
      </c>
      <c r="I8" s="36">
        <f>I4</f>
        <v>0.7</v>
      </c>
      <c r="J8" s="985" t="s">
        <v>9</v>
      </c>
      <c r="K8" s="343"/>
      <c r="L8" s="355"/>
      <c r="M8" s="944"/>
      <c r="N8" s="872">
        <v>42930</v>
      </c>
      <c r="O8" s="872">
        <v>45798</v>
      </c>
      <c r="P8" s="872">
        <v>46082</v>
      </c>
      <c r="Q8" s="940" t="s">
        <v>604</v>
      </c>
      <c r="R8" s="896"/>
      <c r="S8" s="1108"/>
      <c r="T8" s="872">
        <v>42943</v>
      </c>
      <c r="U8" s="872">
        <v>45867</v>
      </c>
      <c r="V8" s="872">
        <v>46231</v>
      </c>
      <c r="W8" s="872"/>
      <c r="X8" s="896"/>
      <c r="Y8" s="1059"/>
      <c r="Z8" s="876"/>
      <c r="AA8" s="879"/>
      <c r="AB8" s="879"/>
      <c r="AC8" s="882"/>
      <c r="AD8" s="58"/>
      <c r="AE8" s="79"/>
      <c r="AF8" s="59"/>
      <c r="AG8" s="9"/>
      <c r="AH8" s="928"/>
      <c r="AI8" s="915"/>
      <c r="AJ8" s="917"/>
      <c r="AK8" s="915"/>
      <c r="AL8" s="933"/>
      <c r="AM8" s="58"/>
    </row>
    <row r="9" spans="1:39" s="10" customFormat="1" ht="17.100000000000001" customHeight="1" x14ac:dyDescent="0.3">
      <c r="A9" s="1083"/>
      <c r="B9" s="927" t="s">
        <v>57</v>
      </c>
      <c r="C9" s="927" t="s">
        <v>11</v>
      </c>
      <c r="D9" s="927">
        <v>2</v>
      </c>
      <c r="E9" s="11" t="s">
        <v>100</v>
      </c>
      <c r="F9" s="233">
        <v>0.2102</v>
      </c>
      <c r="G9" s="146" t="s">
        <v>591</v>
      </c>
      <c r="H9" s="149">
        <f>H5</f>
        <v>46415</v>
      </c>
      <c r="I9" s="13">
        <f>I5</f>
        <v>0.94</v>
      </c>
      <c r="J9" s="985" t="s">
        <v>90</v>
      </c>
      <c r="K9" s="343"/>
      <c r="L9" s="824"/>
      <c r="M9" s="944"/>
      <c r="N9" s="927"/>
      <c r="O9" s="927" t="s">
        <v>12</v>
      </c>
      <c r="P9" s="927"/>
      <c r="Q9" s="889"/>
      <c r="R9" s="896"/>
      <c r="S9" s="1108"/>
      <c r="T9" s="927"/>
      <c r="U9" s="872"/>
      <c r="V9" s="872"/>
      <c r="W9" s="872"/>
      <c r="X9" s="896"/>
      <c r="Y9" s="1059"/>
      <c r="Z9" s="876"/>
      <c r="AA9" s="879"/>
      <c r="AB9" s="879"/>
      <c r="AC9" s="882"/>
      <c r="AD9" s="58"/>
      <c r="AE9" s="79"/>
      <c r="AF9" s="59"/>
      <c r="AG9" s="9"/>
      <c r="AH9" s="928"/>
      <c r="AI9" s="915"/>
      <c r="AJ9" s="917"/>
      <c r="AK9" s="915"/>
      <c r="AL9" s="933"/>
      <c r="AM9" s="58"/>
    </row>
    <row r="10" spans="1:39" s="10" customFormat="1" ht="17.100000000000001" customHeight="1" x14ac:dyDescent="0.3">
      <c r="A10" s="1083"/>
      <c r="B10" s="927" t="s">
        <v>57</v>
      </c>
      <c r="C10" s="927" t="s">
        <v>11</v>
      </c>
      <c r="D10" s="927">
        <v>2</v>
      </c>
      <c r="E10" s="11" t="s">
        <v>49</v>
      </c>
      <c r="F10" s="216" t="s">
        <v>50</v>
      </c>
      <c r="G10" s="146" t="s">
        <v>591</v>
      </c>
      <c r="H10" s="290">
        <f t="shared" ref="H10:I11" si="0">H6</f>
        <v>46163</v>
      </c>
      <c r="I10" s="13">
        <f t="shared" si="0"/>
        <v>1</v>
      </c>
      <c r="J10" s="985" t="s">
        <v>9</v>
      </c>
      <c r="K10" s="343"/>
      <c r="L10" s="824"/>
      <c r="M10" s="944"/>
      <c r="N10" s="927"/>
      <c r="O10" s="927" t="s">
        <v>12</v>
      </c>
      <c r="P10" s="927"/>
      <c r="Q10" s="889"/>
      <c r="R10" s="896"/>
      <c r="S10" s="1108"/>
      <c r="T10" s="927"/>
      <c r="U10" s="872"/>
      <c r="V10" s="872"/>
      <c r="W10" s="872"/>
      <c r="X10" s="896"/>
      <c r="Y10" s="1059"/>
      <c r="Z10" s="876"/>
      <c r="AA10" s="879"/>
      <c r="AB10" s="879"/>
      <c r="AC10" s="882"/>
      <c r="AD10" s="58"/>
      <c r="AE10" s="79"/>
      <c r="AF10" s="59"/>
      <c r="AG10" s="9"/>
      <c r="AH10" s="928"/>
      <c r="AI10" s="915"/>
      <c r="AJ10" s="917"/>
      <c r="AK10" s="915"/>
      <c r="AL10" s="933"/>
      <c r="AM10" s="58"/>
    </row>
    <row r="11" spans="1:39" s="10" customFormat="1" ht="17.100000000000001" customHeight="1" x14ac:dyDescent="0.3">
      <c r="A11" s="1083"/>
      <c r="B11" s="927"/>
      <c r="C11" s="923" t="s">
        <v>11</v>
      </c>
      <c r="D11" s="923">
        <v>2</v>
      </c>
      <c r="E11" s="181" t="s">
        <v>51</v>
      </c>
      <c r="F11" s="234">
        <v>0.02</v>
      </c>
      <c r="G11" s="456" t="s">
        <v>591</v>
      </c>
      <c r="H11" s="291">
        <f t="shared" si="0"/>
        <v>46415</v>
      </c>
      <c r="I11" s="34">
        <f t="shared" si="0"/>
        <v>0.95</v>
      </c>
      <c r="J11" s="985" t="s">
        <v>9</v>
      </c>
      <c r="K11" s="343"/>
      <c r="L11" s="824"/>
      <c r="M11" s="944"/>
      <c r="N11" s="927"/>
      <c r="O11" s="927" t="s">
        <v>12</v>
      </c>
      <c r="P11" s="927"/>
      <c r="Q11" s="902"/>
      <c r="R11" s="896"/>
      <c r="S11" s="1108"/>
      <c r="T11" s="927"/>
      <c r="U11" s="872"/>
      <c r="V11" s="872"/>
      <c r="W11" s="872"/>
      <c r="X11" s="896"/>
      <c r="Y11" s="1059"/>
      <c r="Z11" s="876"/>
      <c r="AA11" s="879"/>
      <c r="AB11" s="879"/>
      <c r="AC11" s="882"/>
      <c r="AD11" s="58"/>
      <c r="AE11" s="79"/>
      <c r="AF11" s="59"/>
      <c r="AG11" s="9"/>
      <c r="AH11" s="928"/>
      <c r="AI11" s="915"/>
      <c r="AJ11" s="917"/>
      <c r="AK11" s="915"/>
      <c r="AL11" s="933"/>
      <c r="AM11" s="58"/>
    </row>
    <row r="12" spans="1:39" s="10" customFormat="1" ht="17.100000000000001" customHeight="1" x14ac:dyDescent="0.3">
      <c r="A12" s="1083"/>
      <c r="B12" s="927" t="s">
        <v>45</v>
      </c>
      <c r="C12" s="902" t="s">
        <v>8</v>
      </c>
      <c r="D12" s="994">
        <v>3</v>
      </c>
      <c r="E12" s="91" t="s">
        <v>584</v>
      </c>
      <c r="F12" s="236">
        <v>170</v>
      </c>
      <c r="G12" s="292" t="s">
        <v>588</v>
      </c>
      <c r="H12" s="293">
        <f>H8</f>
        <v>46163</v>
      </c>
      <c r="I12" s="198">
        <f>I8</f>
        <v>0.7</v>
      </c>
      <c r="J12" s="985" t="s">
        <v>9</v>
      </c>
      <c r="K12" s="343"/>
      <c r="L12" s="824"/>
      <c r="M12" s="944"/>
      <c r="N12" s="872">
        <v>42930</v>
      </c>
      <c r="O12" s="873">
        <v>45798</v>
      </c>
      <c r="P12" s="872">
        <v>46082</v>
      </c>
      <c r="Q12" s="873" t="s">
        <v>605</v>
      </c>
      <c r="R12" s="896"/>
      <c r="S12" s="1108"/>
      <c r="T12" s="872">
        <v>42943</v>
      </c>
      <c r="U12" s="872">
        <v>45875</v>
      </c>
      <c r="V12" s="872">
        <v>46239</v>
      </c>
      <c r="W12" s="872" t="s">
        <v>631</v>
      </c>
      <c r="X12" s="896"/>
      <c r="Y12" s="1059"/>
      <c r="Z12" s="876"/>
      <c r="AA12" s="879"/>
      <c r="AB12" s="879"/>
      <c r="AC12" s="882"/>
      <c r="AD12" s="58"/>
      <c r="AE12" s="79"/>
      <c r="AF12" s="59"/>
      <c r="AG12" s="9"/>
      <c r="AH12" s="928"/>
      <c r="AI12" s="915"/>
      <c r="AJ12" s="917"/>
      <c r="AK12" s="915"/>
      <c r="AL12" s="933"/>
      <c r="AM12" s="58"/>
    </row>
    <row r="13" spans="1:39" s="10" customFormat="1" ht="17.100000000000001" customHeight="1" x14ac:dyDescent="0.3">
      <c r="A13" s="1083"/>
      <c r="B13" s="927" t="s">
        <v>57</v>
      </c>
      <c r="C13" s="927" t="s">
        <v>60</v>
      </c>
      <c r="D13" s="995">
        <v>3</v>
      </c>
      <c r="E13" s="11" t="s">
        <v>100</v>
      </c>
      <c r="F13" s="233">
        <v>0.2102</v>
      </c>
      <c r="G13" s="146" t="s">
        <v>588</v>
      </c>
      <c r="H13" s="149">
        <f>H9</f>
        <v>46415</v>
      </c>
      <c r="I13" s="36">
        <f t="shared" ref="I13:I15" si="1">I9</f>
        <v>0.94</v>
      </c>
      <c r="J13" s="985" t="s">
        <v>91</v>
      </c>
      <c r="K13" s="343"/>
      <c r="L13" s="824"/>
      <c r="M13" s="944"/>
      <c r="N13" s="927"/>
      <c r="O13" s="921">
        <v>2022.07</v>
      </c>
      <c r="P13" s="927"/>
      <c r="Q13" s="921"/>
      <c r="R13" s="896"/>
      <c r="S13" s="1108"/>
      <c r="T13" s="927"/>
      <c r="U13" s="872"/>
      <c r="V13" s="872"/>
      <c r="W13" s="872"/>
      <c r="X13" s="896"/>
      <c r="Y13" s="1059"/>
      <c r="Z13" s="876"/>
      <c r="AA13" s="879"/>
      <c r="AB13" s="879"/>
      <c r="AC13" s="882"/>
      <c r="AD13" s="58"/>
      <c r="AE13" s="79"/>
      <c r="AF13" s="59"/>
      <c r="AG13" s="9"/>
      <c r="AH13" s="928"/>
      <c r="AI13" s="915"/>
      <c r="AJ13" s="917"/>
      <c r="AK13" s="915"/>
      <c r="AL13" s="933"/>
      <c r="AM13" s="58"/>
    </row>
    <row r="14" spans="1:39" s="10" customFormat="1" ht="17.100000000000001" customHeight="1" x14ac:dyDescent="0.3">
      <c r="A14" s="1083"/>
      <c r="B14" s="927" t="s">
        <v>45</v>
      </c>
      <c r="C14" s="927" t="s">
        <v>8</v>
      </c>
      <c r="D14" s="995">
        <v>3</v>
      </c>
      <c r="E14" s="11" t="s">
        <v>49</v>
      </c>
      <c r="F14" s="216" t="s">
        <v>50</v>
      </c>
      <c r="G14" s="146" t="s">
        <v>589</v>
      </c>
      <c r="H14" s="149">
        <f>H10</f>
        <v>46163</v>
      </c>
      <c r="I14" s="36">
        <f t="shared" si="1"/>
        <v>1</v>
      </c>
      <c r="J14" s="985"/>
      <c r="K14" s="343"/>
      <c r="L14" s="824"/>
      <c r="M14" s="944"/>
      <c r="N14" s="927"/>
      <c r="O14" s="921">
        <v>2022.07</v>
      </c>
      <c r="P14" s="927"/>
      <c r="Q14" s="921"/>
      <c r="R14" s="896"/>
      <c r="S14" s="1108"/>
      <c r="T14" s="927"/>
      <c r="U14" s="872"/>
      <c r="V14" s="872"/>
      <c r="W14" s="872"/>
      <c r="X14" s="896"/>
      <c r="Y14" s="1059"/>
      <c r="Z14" s="876"/>
      <c r="AA14" s="879"/>
      <c r="AB14" s="879"/>
      <c r="AC14" s="882"/>
      <c r="AD14" s="58"/>
      <c r="AE14" s="79"/>
      <c r="AF14" s="59"/>
      <c r="AG14" s="9"/>
      <c r="AH14" s="928"/>
      <c r="AI14" s="915"/>
      <c r="AJ14" s="917"/>
      <c r="AK14" s="915"/>
      <c r="AL14" s="933"/>
      <c r="AM14" s="58"/>
    </row>
    <row r="15" spans="1:39" s="10" customFormat="1" ht="17.100000000000001" customHeight="1" x14ac:dyDescent="0.3">
      <c r="A15" s="1084"/>
      <c r="B15" s="941" t="s">
        <v>61</v>
      </c>
      <c r="C15" s="941" t="s">
        <v>8</v>
      </c>
      <c r="D15" s="996">
        <v>3</v>
      </c>
      <c r="E15" s="15" t="s">
        <v>51</v>
      </c>
      <c r="F15" s="237">
        <v>0.02</v>
      </c>
      <c r="G15" s="147" t="s">
        <v>590</v>
      </c>
      <c r="H15" s="150">
        <f>H11</f>
        <v>46415</v>
      </c>
      <c r="I15" s="17">
        <f t="shared" si="1"/>
        <v>0.95</v>
      </c>
      <c r="J15" s="986" t="s">
        <v>9</v>
      </c>
      <c r="K15" s="344"/>
      <c r="L15" s="825"/>
      <c r="M15" s="945"/>
      <c r="N15" s="941"/>
      <c r="O15" s="946">
        <v>2022.07</v>
      </c>
      <c r="P15" s="941"/>
      <c r="Q15" s="946"/>
      <c r="R15" s="1115"/>
      <c r="S15" s="1109"/>
      <c r="T15" s="941"/>
      <c r="U15" s="874"/>
      <c r="V15" s="874"/>
      <c r="W15" s="874"/>
      <c r="X15" s="1115"/>
      <c r="Y15" s="1060"/>
      <c r="Z15" s="877"/>
      <c r="AA15" s="880"/>
      <c r="AB15" s="880"/>
      <c r="AC15" s="883"/>
      <c r="AD15" s="60"/>
      <c r="AE15" s="79"/>
      <c r="AF15" s="61"/>
      <c r="AG15" s="9"/>
      <c r="AH15" s="928"/>
      <c r="AI15" s="915"/>
      <c r="AJ15" s="918"/>
      <c r="AK15" s="915"/>
      <c r="AL15" s="933"/>
      <c r="AM15" s="60"/>
    </row>
    <row r="16" spans="1:39" s="10" customFormat="1" ht="17.100000000000001" customHeight="1" x14ac:dyDescent="0.3">
      <c r="A16" s="1082">
        <v>46172</v>
      </c>
      <c r="B16" s="902" t="s">
        <v>884</v>
      </c>
      <c r="C16" s="902" t="s">
        <v>11</v>
      </c>
      <c r="D16" s="1118" t="s">
        <v>30</v>
      </c>
      <c r="E16" s="35" t="s">
        <v>16</v>
      </c>
      <c r="F16" s="213" t="s">
        <v>23</v>
      </c>
      <c r="G16" s="156"/>
      <c r="H16" s="152"/>
      <c r="I16" s="36"/>
      <c r="J16" s="1074" t="s">
        <v>347</v>
      </c>
      <c r="K16" s="341"/>
      <c r="L16" s="357"/>
      <c r="M16" s="948" t="s">
        <v>417</v>
      </c>
      <c r="N16" s="891"/>
      <c r="O16" s="891"/>
      <c r="P16" s="891"/>
      <c r="Q16" s="891"/>
      <c r="R16" s="891"/>
      <c r="S16" s="891"/>
      <c r="T16" s="891"/>
      <c r="U16" s="888"/>
      <c r="V16" s="888"/>
      <c r="W16" s="888"/>
      <c r="X16" s="365"/>
      <c r="Y16" s="891"/>
      <c r="Z16" s="1037"/>
      <c r="AA16" s="878" t="s">
        <v>355</v>
      </c>
      <c r="AB16" s="878" t="s">
        <v>357</v>
      </c>
      <c r="AC16" s="881">
        <f>26000000/12</f>
        <v>2166666.6666666665</v>
      </c>
      <c r="AD16" s="64"/>
      <c r="AE16" s="78"/>
      <c r="AF16" s="57"/>
      <c r="AG16" s="9" t="s">
        <v>140</v>
      </c>
      <c r="AH16" s="1011"/>
      <c r="AI16" s="1015"/>
      <c r="AJ16" s="1007"/>
      <c r="AK16" s="1015"/>
      <c r="AL16" s="1006"/>
      <c r="AM16" s="64"/>
    </row>
    <row r="17" spans="1:39" s="10" customFormat="1" ht="17.100000000000001" customHeight="1" x14ac:dyDescent="0.3">
      <c r="A17" s="1083"/>
      <c r="B17" s="927" t="s">
        <v>44</v>
      </c>
      <c r="C17" s="927" t="s">
        <v>62</v>
      </c>
      <c r="D17" s="1144" t="s">
        <v>30</v>
      </c>
      <c r="E17" s="20"/>
      <c r="F17" s="238">
        <v>402</v>
      </c>
      <c r="G17" s="146"/>
      <c r="H17" s="149" t="e">
        <f>B14-G14</f>
        <v>#VALUE!</v>
      </c>
      <c r="I17" s="13">
        <v>1</v>
      </c>
      <c r="J17" s="985" t="s">
        <v>9</v>
      </c>
      <c r="K17" s="343"/>
      <c r="L17" s="355"/>
      <c r="M17" s="949"/>
      <c r="N17" s="889"/>
      <c r="O17" s="889"/>
      <c r="P17" s="889"/>
      <c r="Q17" s="889"/>
      <c r="R17" s="889"/>
      <c r="S17" s="889"/>
      <c r="T17" s="889"/>
      <c r="U17" s="921"/>
      <c r="V17" s="921"/>
      <c r="W17" s="921"/>
      <c r="X17" s="365"/>
      <c r="Y17" s="889"/>
      <c r="Z17" s="1033"/>
      <c r="AA17" s="879"/>
      <c r="AB17" s="879"/>
      <c r="AC17" s="882"/>
      <c r="AD17" s="58"/>
      <c r="AE17" s="79"/>
      <c r="AF17" s="59"/>
      <c r="AG17" s="9"/>
      <c r="AH17" s="1011"/>
      <c r="AI17" s="1015"/>
      <c r="AJ17" s="1008"/>
      <c r="AK17" s="1015"/>
      <c r="AL17" s="1006"/>
      <c r="AM17" s="58"/>
    </row>
    <row r="18" spans="1:39" s="10" customFormat="1" ht="17.100000000000001" customHeight="1" x14ac:dyDescent="0.3">
      <c r="A18" s="1083"/>
      <c r="B18" s="927" t="s">
        <v>63</v>
      </c>
      <c r="C18" s="923" t="s">
        <v>64</v>
      </c>
      <c r="D18" s="1145" t="s">
        <v>30</v>
      </c>
      <c r="E18" s="185" t="s">
        <v>32</v>
      </c>
      <c r="F18" s="239">
        <v>400</v>
      </c>
      <c r="G18" s="182"/>
      <c r="H18" s="183">
        <v>44587</v>
      </c>
      <c r="I18" s="184">
        <v>1</v>
      </c>
      <c r="J18" s="985" t="s">
        <v>89</v>
      </c>
      <c r="K18" s="343"/>
      <c r="L18" s="355"/>
      <c r="M18" s="949"/>
      <c r="N18" s="902"/>
      <c r="O18" s="902"/>
      <c r="P18" s="902"/>
      <c r="Q18" s="902"/>
      <c r="R18" s="902"/>
      <c r="S18" s="902"/>
      <c r="T18" s="902"/>
      <c r="U18" s="954"/>
      <c r="V18" s="954"/>
      <c r="W18" s="954"/>
      <c r="X18" s="370"/>
      <c r="Y18" s="902"/>
      <c r="Z18" s="1033"/>
      <c r="AA18" s="879"/>
      <c r="AB18" s="879"/>
      <c r="AC18" s="882"/>
      <c r="AD18" s="58"/>
      <c r="AE18" s="79"/>
      <c r="AF18" s="59"/>
      <c r="AG18" s="9"/>
      <c r="AH18" s="1011"/>
      <c r="AI18" s="1015"/>
      <c r="AJ18" s="1008"/>
      <c r="AK18" s="1015"/>
      <c r="AL18" s="1006"/>
      <c r="AM18" s="58"/>
    </row>
    <row r="19" spans="1:39" s="10" customFormat="1" ht="17.100000000000001" customHeight="1" x14ac:dyDescent="0.3">
      <c r="A19" s="1083"/>
      <c r="B19" s="927" t="s">
        <v>65</v>
      </c>
      <c r="C19" s="186" t="s">
        <v>66</v>
      </c>
      <c r="D19" s="381" t="s">
        <v>33</v>
      </c>
      <c r="E19" s="187" t="s">
        <v>5</v>
      </c>
      <c r="F19" s="212" t="s">
        <v>31</v>
      </c>
      <c r="G19" s="188"/>
      <c r="H19" s="189"/>
      <c r="I19" s="190" t="s">
        <v>338</v>
      </c>
      <c r="J19" s="985" t="s">
        <v>91</v>
      </c>
      <c r="K19" s="343"/>
      <c r="L19" s="355"/>
      <c r="M19" s="949"/>
      <c r="N19" s="146"/>
      <c r="O19" s="146"/>
      <c r="P19" s="146"/>
      <c r="Q19" s="302"/>
      <c r="R19" s="366"/>
      <c r="S19" s="366"/>
      <c r="T19" s="146"/>
      <c r="U19" s="149"/>
      <c r="V19" s="298"/>
      <c r="W19" s="149"/>
      <c r="X19" s="366"/>
      <c r="Y19" s="314"/>
      <c r="Z19" s="1033"/>
      <c r="AA19" s="879"/>
      <c r="AB19" s="879"/>
      <c r="AC19" s="882"/>
      <c r="AD19" s="58"/>
      <c r="AE19" s="79"/>
      <c r="AF19" s="59"/>
      <c r="AG19" s="9"/>
      <c r="AH19" s="1011"/>
      <c r="AI19" s="1015"/>
      <c r="AJ19" s="1008"/>
      <c r="AK19" s="1015"/>
      <c r="AL19" s="1006"/>
      <c r="AM19" s="58"/>
    </row>
    <row r="20" spans="1:39" s="10" customFormat="1" ht="13.5" x14ac:dyDescent="0.3">
      <c r="A20" s="1083"/>
      <c r="B20" s="927" t="s">
        <v>44</v>
      </c>
      <c r="C20" s="186" t="s">
        <v>11</v>
      </c>
      <c r="D20" s="381" t="s">
        <v>67</v>
      </c>
      <c r="E20" s="187" t="s">
        <v>5</v>
      </c>
      <c r="F20" s="228" t="s">
        <v>5</v>
      </c>
      <c r="G20" s="188"/>
      <c r="H20" s="189"/>
      <c r="I20" s="190" t="s">
        <v>350</v>
      </c>
      <c r="J20" s="985" t="s">
        <v>91</v>
      </c>
      <c r="K20" s="343"/>
      <c r="L20" s="355"/>
      <c r="M20" s="949"/>
      <c r="N20" s="146"/>
      <c r="O20" s="146"/>
      <c r="P20" s="146"/>
      <c r="Q20" s="302"/>
      <c r="R20" s="366"/>
      <c r="S20" s="366"/>
      <c r="T20" s="146"/>
      <c r="U20" s="149"/>
      <c r="V20" s="298"/>
      <c r="W20" s="149"/>
      <c r="X20" s="366"/>
      <c r="Y20" s="314"/>
      <c r="Z20" s="1033"/>
      <c r="AA20" s="879"/>
      <c r="AB20" s="879"/>
      <c r="AC20" s="882"/>
      <c r="AD20" s="58"/>
      <c r="AE20" s="79"/>
      <c r="AF20" s="59"/>
      <c r="AG20" s="9"/>
      <c r="AH20" s="1011"/>
      <c r="AI20" s="1015"/>
      <c r="AJ20" s="1008"/>
      <c r="AK20" s="1015"/>
      <c r="AL20" s="1006"/>
      <c r="AM20" s="58"/>
    </row>
    <row r="21" spans="1:39" s="10" customFormat="1" ht="17.100000000000001" customHeight="1" x14ac:dyDescent="0.3">
      <c r="A21" s="1083"/>
      <c r="B21" s="927" t="s">
        <v>44</v>
      </c>
      <c r="C21" s="902" t="s">
        <v>11</v>
      </c>
      <c r="D21" s="1118" t="s">
        <v>34</v>
      </c>
      <c r="E21" s="175" t="s">
        <v>195</v>
      </c>
      <c r="F21" s="240">
        <v>25.7</v>
      </c>
      <c r="G21" s="157"/>
      <c r="H21" s="176"/>
      <c r="I21" s="177" t="s">
        <v>336</v>
      </c>
      <c r="J21" s="985" t="s">
        <v>91</v>
      </c>
      <c r="K21" s="343"/>
      <c r="L21" s="355"/>
      <c r="M21" s="949"/>
      <c r="N21" s="940"/>
      <c r="O21" s="940"/>
      <c r="P21" s="940"/>
      <c r="Q21" s="940"/>
      <c r="R21" s="940"/>
      <c r="S21" s="940"/>
      <c r="T21" s="940"/>
      <c r="U21" s="873"/>
      <c r="V21" s="873"/>
      <c r="W21" s="873"/>
      <c r="X21" s="372"/>
      <c r="Y21" s="940"/>
      <c r="Z21" s="1033"/>
      <c r="AA21" s="879"/>
      <c r="AB21" s="879"/>
      <c r="AC21" s="882"/>
      <c r="AD21" s="58"/>
      <c r="AE21" s="79"/>
      <c r="AF21" s="59"/>
      <c r="AG21" s="9"/>
      <c r="AH21" s="1011"/>
      <c r="AI21" s="1015"/>
      <c r="AJ21" s="1008"/>
      <c r="AK21" s="1015"/>
      <c r="AL21" s="1006"/>
      <c r="AM21" s="58"/>
    </row>
    <row r="22" spans="1:39" s="10" customFormat="1" ht="17.100000000000001" customHeight="1" x14ac:dyDescent="0.3">
      <c r="A22" s="1084"/>
      <c r="B22" s="941" t="s">
        <v>44</v>
      </c>
      <c r="C22" s="941" t="s">
        <v>62</v>
      </c>
      <c r="D22" s="1119" t="s">
        <v>68</v>
      </c>
      <c r="E22" s="21" t="s">
        <v>35</v>
      </c>
      <c r="F22" s="241">
        <v>20</v>
      </c>
      <c r="G22" s="158"/>
      <c r="H22" s="120"/>
      <c r="I22" s="22" t="s">
        <v>351</v>
      </c>
      <c r="J22" s="986" t="s">
        <v>90</v>
      </c>
      <c r="K22" s="344"/>
      <c r="L22" s="356"/>
      <c r="M22" s="950"/>
      <c r="N22" s="890"/>
      <c r="O22" s="890"/>
      <c r="P22" s="890"/>
      <c r="Q22" s="890"/>
      <c r="R22" s="890"/>
      <c r="S22" s="890"/>
      <c r="T22" s="890"/>
      <c r="U22" s="946"/>
      <c r="V22" s="946"/>
      <c r="W22" s="946"/>
      <c r="X22" s="364"/>
      <c r="Y22" s="890"/>
      <c r="Z22" s="1038"/>
      <c r="AA22" s="880"/>
      <c r="AB22" s="880"/>
      <c r="AC22" s="883"/>
      <c r="AD22" s="60"/>
      <c r="AE22" s="80"/>
      <c r="AF22" s="61"/>
      <c r="AG22" s="9"/>
      <c r="AH22" s="1011"/>
      <c r="AI22" s="1015"/>
      <c r="AJ22" s="1009"/>
      <c r="AK22" s="1015"/>
      <c r="AL22" s="1006"/>
      <c r="AM22" s="60"/>
    </row>
    <row r="23" spans="1:39" s="10" customFormat="1" ht="22.5" customHeight="1" x14ac:dyDescent="0.3">
      <c r="A23" s="1139" t="s">
        <v>185</v>
      </c>
      <c r="B23" s="902" t="s">
        <v>972</v>
      </c>
      <c r="C23" s="1134"/>
      <c r="D23" s="902">
        <v>1</v>
      </c>
      <c r="E23" s="91" t="s">
        <v>121</v>
      </c>
      <c r="F23" s="217" t="s">
        <v>118</v>
      </c>
      <c r="G23" s="156">
        <v>10</v>
      </c>
      <c r="H23" s="152">
        <v>46378</v>
      </c>
      <c r="I23" s="36">
        <v>1</v>
      </c>
      <c r="J23" s="1074" t="s">
        <v>347</v>
      </c>
      <c r="K23" s="341"/>
      <c r="L23" s="755"/>
      <c r="M23" s="968" t="s">
        <v>418</v>
      </c>
      <c r="N23" s="954">
        <v>44532</v>
      </c>
      <c r="O23" s="954">
        <v>45992</v>
      </c>
      <c r="P23" s="954">
        <v>46357</v>
      </c>
      <c r="Q23" s="954" t="s">
        <v>291</v>
      </c>
      <c r="R23" s="888"/>
      <c r="S23" s="981"/>
      <c r="T23" s="954">
        <v>44448</v>
      </c>
      <c r="U23" s="954">
        <v>46049</v>
      </c>
      <c r="V23" s="954">
        <v>46414</v>
      </c>
      <c r="W23" s="954" t="s">
        <v>290</v>
      </c>
      <c r="X23" s="888"/>
      <c r="Y23" s="954"/>
      <c r="Z23" s="897">
        <v>46080</v>
      </c>
      <c r="AA23" s="878" t="s">
        <v>356</v>
      </c>
      <c r="AB23" s="878" t="s">
        <v>358</v>
      </c>
      <c r="AC23" s="881">
        <v>1100000</v>
      </c>
      <c r="AD23" s="64"/>
      <c r="AE23" s="78"/>
      <c r="AF23" s="57"/>
      <c r="AG23" s="23" t="s">
        <v>137</v>
      </c>
      <c r="AH23" s="1019" t="s">
        <v>160</v>
      </c>
      <c r="AI23" s="1027" t="s">
        <v>166</v>
      </c>
      <c r="AJ23" s="999" t="s">
        <v>160</v>
      </c>
      <c r="AK23" s="1027"/>
      <c r="AL23" s="1016"/>
      <c r="AM23" s="64"/>
    </row>
    <row r="24" spans="1:39" s="10" customFormat="1" ht="22.5" customHeight="1" x14ac:dyDescent="0.3">
      <c r="A24" s="939"/>
      <c r="B24" s="941"/>
      <c r="C24" s="1135"/>
      <c r="D24" s="941"/>
      <c r="E24" s="15" t="s">
        <v>825</v>
      </c>
      <c r="F24" s="242" t="s">
        <v>272</v>
      </c>
      <c r="G24" s="147">
        <v>10</v>
      </c>
      <c r="H24" s="150">
        <v>46378</v>
      </c>
      <c r="I24" s="17">
        <v>1</v>
      </c>
      <c r="J24" s="986"/>
      <c r="K24" s="344"/>
      <c r="L24" s="757"/>
      <c r="M24" s="969"/>
      <c r="N24" s="941"/>
      <c r="O24" s="941"/>
      <c r="P24" s="941"/>
      <c r="Q24" s="941"/>
      <c r="R24" s="946"/>
      <c r="S24" s="941"/>
      <c r="T24" s="941"/>
      <c r="U24" s="874"/>
      <c r="V24" s="874"/>
      <c r="W24" s="874"/>
      <c r="X24" s="946"/>
      <c r="Y24" s="941"/>
      <c r="Z24" s="877"/>
      <c r="AA24" s="880"/>
      <c r="AB24" s="880"/>
      <c r="AC24" s="883"/>
      <c r="AD24" s="60"/>
      <c r="AE24" s="80"/>
      <c r="AF24" s="61"/>
      <c r="AG24" s="9"/>
      <c r="AH24" s="1019"/>
      <c r="AI24" s="1027"/>
      <c r="AJ24" s="1001"/>
      <c r="AK24" s="1027"/>
      <c r="AL24" s="1016"/>
      <c r="AM24" s="60"/>
    </row>
    <row r="25" spans="1:39" s="10" customFormat="1" ht="17.100000000000001" customHeight="1" x14ac:dyDescent="0.3">
      <c r="A25" s="1082">
        <v>46387</v>
      </c>
      <c r="B25" s="891" t="s">
        <v>973</v>
      </c>
      <c r="C25" s="891" t="s">
        <v>180</v>
      </c>
      <c r="D25" s="913" t="s">
        <v>1042</v>
      </c>
      <c r="E25" s="5" t="s">
        <v>851</v>
      </c>
      <c r="F25" s="215" t="s">
        <v>278</v>
      </c>
      <c r="G25" s="145">
        <v>10</v>
      </c>
      <c r="H25" s="148"/>
      <c r="I25" s="7">
        <v>0.9</v>
      </c>
      <c r="J25" s="966" t="s">
        <v>347</v>
      </c>
      <c r="K25" s="341"/>
      <c r="L25" s="792"/>
      <c r="M25" s="968" t="s">
        <v>419</v>
      </c>
      <c r="N25" s="871">
        <v>45971</v>
      </c>
      <c r="O25" s="871"/>
      <c r="P25" s="871">
        <v>46700</v>
      </c>
      <c r="Q25" s="871" t="s">
        <v>296</v>
      </c>
      <c r="R25" s="959" t="s">
        <v>961</v>
      </c>
      <c r="S25" s="959"/>
      <c r="T25" s="871">
        <v>45362</v>
      </c>
      <c r="U25" s="871"/>
      <c r="V25" s="871">
        <v>46091</v>
      </c>
      <c r="W25" s="871"/>
      <c r="X25" s="959" t="s">
        <v>961</v>
      </c>
      <c r="Y25" s="871"/>
      <c r="Z25" s="897"/>
      <c r="AA25" s="1048" t="s">
        <v>524</v>
      </c>
      <c r="AB25" s="878" t="s">
        <v>360</v>
      </c>
      <c r="AC25" s="1020">
        <v>5000000</v>
      </c>
      <c r="AD25" s="64"/>
      <c r="AE25" s="78"/>
      <c r="AF25" s="57"/>
      <c r="AG25" s="23" t="s">
        <v>148</v>
      </c>
      <c r="AH25" s="1019"/>
      <c r="AI25" s="1027" t="s">
        <v>168</v>
      </c>
      <c r="AJ25" s="999" t="s">
        <v>167</v>
      </c>
      <c r="AK25" s="1027"/>
      <c r="AL25" s="1030" t="s">
        <v>348</v>
      </c>
      <c r="AM25" s="64"/>
    </row>
    <row r="26" spans="1:39" s="10" customFormat="1" ht="17.100000000000001" customHeight="1" x14ac:dyDescent="0.3">
      <c r="A26" s="1083"/>
      <c r="B26" s="889"/>
      <c r="C26" s="889"/>
      <c r="D26" s="889"/>
      <c r="E26" s="11" t="s">
        <v>952</v>
      </c>
      <c r="F26" s="243" t="s">
        <v>950</v>
      </c>
      <c r="G26" s="146">
        <v>10</v>
      </c>
      <c r="H26" s="149">
        <v>46318</v>
      </c>
      <c r="I26" s="13">
        <v>0.8</v>
      </c>
      <c r="J26" s="966"/>
      <c r="K26" s="343"/>
      <c r="L26" s="795"/>
      <c r="M26" s="970"/>
      <c r="N26" s="927"/>
      <c r="O26" s="927"/>
      <c r="P26" s="927"/>
      <c r="Q26" s="927"/>
      <c r="R26" s="921"/>
      <c r="S26" s="1059"/>
      <c r="T26" s="872"/>
      <c r="U26" s="872"/>
      <c r="V26" s="872"/>
      <c r="W26" s="872"/>
      <c r="X26" s="921"/>
      <c r="Y26" s="872"/>
      <c r="Z26" s="876"/>
      <c r="AA26" s="879"/>
      <c r="AB26" s="879"/>
      <c r="AC26" s="882"/>
      <c r="AD26" s="325" t="s">
        <v>847</v>
      </c>
      <c r="AE26" s="79"/>
      <c r="AF26" s="59">
        <v>44777</v>
      </c>
      <c r="AG26" s="9"/>
      <c r="AH26" s="1019"/>
      <c r="AI26" s="1027"/>
      <c r="AJ26" s="1000"/>
      <c r="AK26" s="1027"/>
      <c r="AL26" s="1016"/>
      <c r="AM26" s="325" t="s">
        <v>865</v>
      </c>
    </row>
    <row r="27" spans="1:39" s="10" customFormat="1" ht="17.100000000000001" customHeight="1" x14ac:dyDescent="0.3">
      <c r="A27" s="1083"/>
      <c r="B27" s="889"/>
      <c r="C27" s="889"/>
      <c r="D27" s="889"/>
      <c r="E27" s="11" t="s">
        <v>953</v>
      </c>
      <c r="F27" s="243" t="s">
        <v>238</v>
      </c>
      <c r="G27" s="791">
        <v>10</v>
      </c>
      <c r="H27" s="788">
        <v>46318</v>
      </c>
      <c r="I27" s="13">
        <v>1</v>
      </c>
      <c r="J27" s="966"/>
      <c r="K27" s="343"/>
      <c r="L27" s="795"/>
      <c r="M27" s="970"/>
      <c r="N27" s="927"/>
      <c r="O27" s="927"/>
      <c r="P27" s="927"/>
      <c r="Q27" s="927"/>
      <c r="R27" s="921"/>
      <c r="S27" s="1059"/>
      <c r="T27" s="872"/>
      <c r="U27" s="872"/>
      <c r="V27" s="872"/>
      <c r="W27" s="872"/>
      <c r="X27" s="921"/>
      <c r="Y27" s="872"/>
      <c r="Z27" s="876"/>
      <c r="AA27" s="879"/>
      <c r="AB27" s="879"/>
      <c r="AC27" s="882"/>
      <c r="AD27" s="325" t="s">
        <v>1020</v>
      </c>
      <c r="AE27" s="79"/>
      <c r="AF27" s="59">
        <v>44777</v>
      </c>
      <c r="AG27" s="9"/>
      <c r="AH27" s="1019"/>
      <c r="AI27" s="1027"/>
      <c r="AJ27" s="1000"/>
      <c r="AK27" s="1027"/>
      <c r="AL27" s="1016"/>
      <c r="AM27" s="325" t="s">
        <v>865</v>
      </c>
    </row>
    <row r="28" spans="1:39" s="10" customFormat="1" ht="17.100000000000001" customHeight="1" x14ac:dyDescent="0.3">
      <c r="A28" s="1083"/>
      <c r="B28" s="889"/>
      <c r="C28" s="951"/>
      <c r="D28" s="951"/>
      <c r="E28" s="181" t="s">
        <v>122</v>
      </c>
      <c r="F28" s="234">
        <v>0.21010000000000001</v>
      </c>
      <c r="G28" s="182">
        <v>10</v>
      </c>
      <c r="H28" s="183">
        <v>46318</v>
      </c>
      <c r="I28" s="184">
        <v>0.98</v>
      </c>
      <c r="J28" s="966"/>
      <c r="K28" s="343"/>
      <c r="L28" s="795"/>
      <c r="M28" s="970"/>
      <c r="N28" s="927"/>
      <c r="O28" s="927"/>
      <c r="P28" s="927"/>
      <c r="Q28" s="927"/>
      <c r="R28" s="921"/>
      <c r="S28" s="1042"/>
      <c r="T28" s="872"/>
      <c r="U28" s="872"/>
      <c r="V28" s="872"/>
      <c r="W28" s="872"/>
      <c r="X28" s="921"/>
      <c r="Y28" s="872"/>
      <c r="Z28" s="1018"/>
      <c r="AA28" s="879"/>
      <c r="AB28" s="879"/>
      <c r="AC28" s="882"/>
      <c r="AD28" s="58"/>
      <c r="AE28" s="79"/>
      <c r="AF28" s="59"/>
      <c r="AG28" s="9"/>
      <c r="AH28" s="1019"/>
      <c r="AI28" s="1027"/>
      <c r="AJ28" s="1000"/>
      <c r="AK28" s="1027"/>
      <c r="AL28" s="1016"/>
      <c r="AM28" s="58"/>
    </row>
    <row r="29" spans="1:39" s="10" customFormat="1" ht="17.100000000000001" customHeight="1" x14ac:dyDescent="0.3">
      <c r="A29" s="1083"/>
      <c r="B29" s="889"/>
      <c r="C29" s="1078" t="s">
        <v>39</v>
      </c>
      <c r="D29" s="981" t="s">
        <v>1043</v>
      </c>
      <c r="E29" s="91" t="s">
        <v>115</v>
      </c>
      <c r="F29" s="217" t="s">
        <v>1</v>
      </c>
      <c r="G29" s="789">
        <v>10</v>
      </c>
      <c r="H29" s="790"/>
      <c r="I29" s="36">
        <v>1</v>
      </c>
      <c r="J29" s="966"/>
      <c r="K29" s="343"/>
      <c r="L29" s="795"/>
      <c r="M29" s="970"/>
      <c r="N29" s="873">
        <v>44580</v>
      </c>
      <c r="O29" s="873">
        <v>45508</v>
      </c>
      <c r="P29" s="873">
        <v>46237</v>
      </c>
      <c r="Q29" s="954"/>
      <c r="R29" s="921"/>
      <c r="S29" s="1059"/>
      <c r="T29" s="872">
        <v>44510</v>
      </c>
      <c r="U29" s="872">
        <v>45969</v>
      </c>
      <c r="V29" s="872">
        <v>46334</v>
      </c>
      <c r="W29" s="872"/>
      <c r="X29" s="921"/>
      <c r="Y29" s="872"/>
      <c r="Z29" s="1034">
        <v>46066</v>
      </c>
      <c r="AA29" s="879"/>
      <c r="AB29" s="879"/>
      <c r="AC29" s="882"/>
      <c r="AD29" s="58"/>
      <c r="AE29" s="79"/>
      <c r="AF29" s="59">
        <v>44792</v>
      </c>
      <c r="AG29" s="9"/>
      <c r="AH29" s="1019"/>
      <c r="AI29" s="1027"/>
      <c r="AJ29" s="1000"/>
      <c r="AK29" s="1027"/>
      <c r="AL29" s="1016"/>
      <c r="AM29" s="58"/>
    </row>
    <row r="30" spans="1:39" s="10" customFormat="1" ht="17.100000000000001" customHeight="1" x14ac:dyDescent="0.3">
      <c r="A30" s="1083"/>
      <c r="B30" s="889"/>
      <c r="C30" s="889"/>
      <c r="D30" s="927"/>
      <c r="E30" s="11" t="s">
        <v>151</v>
      </c>
      <c r="F30" s="243" t="s">
        <v>950</v>
      </c>
      <c r="G30" s="791">
        <v>10</v>
      </c>
      <c r="H30" s="788">
        <v>46373</v>
      </c>
      <c r="I30" s="13">
        <v>1</v>
      </c>
      <c r="J30" s="966"/>
      <c r="K30" s="343"/>
      <c r="L30" s="795"/>
      <c r="M30" s="970"/>
      <c r="N30" s="954"/>
      <c r="O30" s="954"/>
      <c r="P30" s="954"/>
      <c r="Q30" s="927"/>
      <c r="R30" s="921"/>
      <c r="S30" s="1059"/>
      <c r="T30" s="872"/>
      <c r="U30" s="872"/>
      <c r="V30" s="872"/>
      <c r="W30" s="872"/>
      <c r="X30" s="921"/>
      <c r="Y30" s="872"/>
      <c r="Z30" s="876"/>
      <c r="AA30" s="879"/>
      <c r="AB30" s="879"/>
      <c r="AC30" s="882"/>
      <c r="AD30" s="58"/>
      <c r="AE30" s="79"/>
      <c r="AF30" s="59"/>
      <c r="AG30" s="23"/>
      <c r="AH30" s="1019"/>
      <c r="AI30" s="1027"/>
      <c r="AJ30" s="1000"/>
      <c r="AK30" s="1027"/>
      <c r="AL30" s="1016"/>
      <c r="AM30" s="58"/>
    </row>
    <row r="31" spans="1:39" s="10" customFormat="1" ht="17.100000000000001" customHeight="1" x14ac:dyDescent="0.3">
      <c r="A31" s="1083"/>
      <c r="B31" s="889"/>
      <c r="C31" s="889"/>
      <c r="D31" s="940"/>
      <c r="E31" s="11" t="s">
        <v>951</v>
      </c>
      <c r="F31" s="243" t="s">
        <v>238</v>
      </c>
      <c r="G31" s="791">
        <v>10</v>
      </c>
      <c r="H31" s="788">
        <v>46373</v>
      </c>
      <c r="I31" s="13">
        <v>1</v>
      </c>
      <c r="J31" s="966"/>
      <c r="K31" s="343"/>
      <c r="L31" s="795"/>
      <c r="M31" s="970"/>
      <c r="N31" s="535"/>
      <c r="O31" s="535"/>
      <c r="P31" s="535"/>
      <c r="Q31" s="927"/>
      <c r="R31" s="921"/>
      <c r="S31" s="1059"/>
      <c r="T31" s="872"/>
      <c r="U31" s="872"/>
      <c r="V31" s="872"/>
      <c r="W31" s="872"/>
      <c r="X31" s="921"/>
      <c r="Y31" s="872"/>
      <c r="Z31" s="876"/>
      <c r="AA31" s="879"/>
      <c r="AB31" s="879"/>
      <c r="AC31" s="882"/>
      <c r="AD31" s="58"/>
      <c r="AE31" s="79"/>
      <c r="AF31" s="59"/>
      <c r="AG31" s="23"/>
      <c r="AH31" s="1019"/>
      <c r="AI31" s="1027"/>
      <c r="AJ31" s="1000"/>
      <c r="AK31" s="1027"/>
      <c r="AL31" s="1016"/>
      <c r="AM31" s="58"/>
    </row>
    <row r="32" spans="1:39" s="10" customFormat="1" ht="17.100000000000001" customHeight="1" x14ac:dyDescent="0.3">
      <c r="A32" s="1083"/>
      <c r="B32" s="889"/>
      <c r="C32" s="1156"/>
      <c r="D32" s="1155"/>
      <c r="E32" s="191" t="s">
        <v>37</v>
      </c>
      <c r="F32" s="234">
        <v>0.21</v>
      </c>
      <c r="G32" s="797">
        <v>10</v>
      </c>
      <c r="H32" s="193">
        <v>46378</v>
      </c>
      <c r="I32" s="194">
        <v>0.93</v>
      </c>
      <c r="J32" s="966"/>
      <c r="K32" s="343"/>
      <c r="L32" s="795"/>
      <c r="M32" s="970"/>
      <c r="N32" s="806">
        <v>44580</v>
      </c>
      <c r="O32" s="806">
        <v>45309</v>
      </c>
      <c r="P32" s="806">
        <v>46040</v>
      </c>
      <c r="Q32" s="927"/>
      <c r="R32" s="921"/>
      <c r="S32" s="1042"/>
      <c r="T32" s="872"/>
      <c r="U32" s="872"/>
      <c r="V32" s="872"/>
      <c r="W32" s="872"/>
      <c r="X32" s="921"/>
      <c r="Y32" s="872"/>
      <c r="Z32" s="1018"/>
      <c r="AA32" s="879"/>
      <c r="AB32" s="879"/>
      <c r="AC32" s="882"/>
      <c r="AD32" s="58"/>
      <c r="AE32" s="79"/>
      <c r="AF32" s="59"/>
      <c r="AG32" s="9"/>
      <c r="AH32" s="1019"/>
      <c r="AI32" s="1027"/>
      <c r="AJ32" s="1000"/>
      <c r="AK32" s="1027"/>
      <c r="AL32" s="1016"/>
      <c r="AM32" s="58"/>
    </row>
    <row r="33" spans="1:39" s="10" customFormat="1" ht="17.100000000000001" customHeight="1" x14ac:dyDescent="0.3">
      <c r="A33" s="1083"/>
      <c r="B33" s="889"/>
      <c r="C33" s="1078" t="s">
        <v>181</v>
      </c>
      <c r="D33" s="981" t="s">
        <v>1044</v>
      </c>
      <c r="E33" s="91" t="s">
        <v>115</v>
      </c>
      <c r="F33" s="217" t="s">
        <v>154</v>
      </c>
      <c r="G33" s="156">
        <v>10</v>
      </c>
      <c r="H33" s="152"/>
      <c r="I33" s="36">
        <v>1</v>
      </c>
      <c r="J33" s="966"/>
      <c r="K33" s="343"/>
      <c r="L33" s="604"/>
      <c r="M33" s="970"/>
      <c r="N33" s="872">
        <v>44596</v>
      </c>
      <c r="O33" s="872">
        <v>46056</v>
      </c>
      <c r="P33" s="872">
        <v>46421</v>
      </c>
      <c r="Q33" s="872" t="s">
        <v>547</v>
      </c>
      <c r="R33" s="921"/>
      <c r="S33" s="1059"/>
      <c r="T33" s="872">
        <v>44510</v>
      </c>
      <c r="U33" s="872">
        <v>45970</v>
      </c>
      <c r="V33" s="872">
        <v>46335</v>
      </c>
      <c r="W33" s="872" t="s">
        <v>324</v>
      </c>
      <c r="X33" s="921"/>
      <c r="Y33" s="872"/>
      <c r="Z33" s="1034"/>
      <c r="AA33" s="879"/>
      <c r="AB33" s="879"/>
      <c r="AC33" s="882"/>
      <c r="AD33" s="58"/>
      <c r="AE33" s="79"/>
      <c r="AF33" s="59">
        <v>44792</v>
      </c>
      <c r="AG33" s="9"/>
      <c r="AH33" s="1019"/>
      <c r="AI33" s="1027"/>
      <c r="AJ33" s="1000"/>
      <c r="AK33" s="1027"/>
      <c r="AL33" s="1016"/>
      <c r="AM33" s="58"/>
    </row>
    <row r="34" spans="1:39" s="10" customFormat="1" ht="17.100000000000001" customHeight="1" x14ac:dyDescent="0.3">
      <c r="A34" s="1083"/>
      <c r="B34" s="889"/>
      <c r="C34" s="889"/>
      <c r="D34" s="927"/>
      <c r="E34" s="11" t="s">
        <v>119</v>
      </c>
      <c r="F34" s="243" t="s">
        <v>703</v>
      </c>
      <c r="G34" s="146">
        <v>10</v>
      </c>
      <c r="H34" s="149">
        <v>46352</v>
      </c>
      <c r="I34" s="13">
        <v>0.85</v>
      </c>
      <c r="J34" s="966"/>
      <c r="K34" s="343"/>
      <c r="L34" s="733"/>
      <c r="M34" s="970"/>
      <c r="N34" s="927"/>
      <c r="O34" s="927"/>
      <c r="P34" s="927"/>
      <c r="Q34" s="927"/>
      <c r="R34" s="921"/>
      <c r="S34" s="1059"/>
      <c r="T34" s="872"/>
      <c r="U34" s="872"/>
      <c r="V34" s="872"/>
      <c r="W34" s="872"/>
      <c r="X34" s="921"/>
      <c r="Y34" s="872"/>
      <c r="Z34" s="876"/>
      <c r="AA34" s="879"/>
      <c r="AB34" s="879"/>
      <c r="AC34" s="882"/>
      <c r="AD34" s="58"/>
      <c r="AE34" s="79"/>
      <c r="AF34" s="59"/>
      <c r="AG34" s="23"/>
      <c r="AH34" s="1019"/>
      <c r="AI34" s="1027"/>
      <c r="AJ34" s="1000"/>
      <c r="AK34" s="1027"/>
      <c r="AL34" s="1016"/>
      <c r="AM34" s="58"/>
    </row>
    <row r="35" spans="1:39" s="10" customFormat="1" ht="17.100000000000001" customHeight="1" x14ac:dyDescent="0.3">
      <c r="A35" s="1083"/>
      <c r="B35" s="889"/>
      <c r="C35" s="1156"/>
      <c r="D35" s="1155"/>
      <c r="E35" s="191" t="s">
        <v>122</v>
      </c>
      <c r="F35" s="234">
        <v>0.21</v>
      </c>
      <c r="G35" s="192">
        <v>10</v>
      </c>
      <c r="H35" s="193">
        <v>46317</v>
      </c>
      <c r="I35" s="194">
        <v>0.9</v>
      </c>
      <c r="J35" s="966"/>
      <c r="K35" s="343"/>
      <c r="L35" s="702"/>
      <c r="M35" s="970"/>
      <c r="N35" s="927"/>
      <c r="O35" s="927"/>
      <c r="P35" s="927"/>
      <c r="Q35" s="927"/>
      <c r="R35" s="921"/>
      <c r="S35" s="1042"/>
      <c r="T35" s="872"/>
      <c r="U35" s="872"/>
      <c r="V35" s="872"/>
      <c r="W35" s="872"/>
      <c r="X35" s="921"/>
      <c r="Y35" s="872"/>
      <c r="Z35" s="1018"/>
      <c r="AA35" s="879"/>
      <c r="AB35" s="879"/>
      <c r="AC35" s="882"/>
      <c r="AD35" s="58"/>
      <c r="AE35" s="79"/>
      <c r="AF35" s="59"/>
      <c r="AG35" s="9"/>
      <c r="AH35" s="1019"/>
      <c r="AI35" s="1027"/>
      <c r="AJ35" s="1000"/>
      <c r="AK35" s="1027"/>
      <c r="AL35" s="1016"/>
      <c r="AM35" s="58"/>
    </row>
    <row r="36" spans="1:39" s="10" customFormat="1" ht="17.100000000000001" customHeight="1" x14ac:dyDescent="0.3">
      <c r="A36" s="1083"/>
      <c r="B36" s="889"/>
      <c r="C36" s="889" t="s">
        <v>8</v>
      </c>
      <c r="D36" s="981" t="s">
        <v>767</v>
      </c>
      <c r="E36" s="91" t="s">
        <v>641</v>
      </c>
      <c r="F36" s="217" t="s">
        <v>196</v>
      </c>
      <c r="G36" s="156">
        <v>10</v>
      </c>
      <c r="H36" s="152"/>
      <c r="I36" s="36">
        <v>0.35</v>
      </c>
      <c r="J36" s="966"/>
      <c r="K36" s="343"/>
      <c r="L36" s="355"/>
      <c r="M36" s="970"/>
      <c r="N36" s="872">
        <v>44805</v>
      </c>
      <c r="O36" s="872">
        <v>45535</v>
      </c>
      <c r="P36" s="872">
        <v>46265</v>
      </c>
      <c r="Q36" s="872" t="s">
        <v>636</v>
      </c>
      <c r="R36" s="921"/>
      <c r="S36" s="1129"/>
      <c r="T36" s="872">
        <v>44509</v>
      </c>
      <c r="U36" s="872">
        <v>45969</v>
      </c>
      <c r="V36" s="872">
        <v>46066</v>
      </c>
      <c r="W36" s="872" t="s">
        <v>324</v>
      </c>
      <c r="X36" s="921"/>
      <c r="Y36" s="872" t="s">
        <v>510</v>
      </c>
      <c r="Z36" s="1034">
        <v>46080</v>
      </c>
      <c r="AA36" s="879"/>
      <c r="AB36" s="879"/>
      <c r="AC36" s="882"/>
      <c r="AD36" s="58"/>
      <c r="AE36" s="79"/>
      <c r="AF36" s="59"/>
      <c r="AG36" s="9"/>
      <c r="AH36" s="1019"/>
      <c r="AI36" s="1027"/>
      <c r="AJ36" s="1000"/>
      <c r="AK36" s="1027"/>
      <c r="AL36" s="1016"/>
      <c r="AM36" s="58"/>
    </row>
    <row r="37" spans="1:39" s="10" customFormat="1" ht="17.100000000000001" customHeight="1" x14ac:dyDescent="0.3">
      <c r="A37" s="1083"/>
      <c r="B37" s="889"/>
      <c r="C37" s="889"/>
      <c r="D37" s="927"/>
      <c r="E37" s="11" t="s">
        <v>277</v>
      </c>
      <c r="F37" s="243" t="s">
        <v>831</v>
      </c>
      <c r="G37" s="146">
        <v>10</v>
      </c>
      <c r="H37" s="149">
        <v>46134</v>
      </c>
      <c r="I37" s="13">
        <v>0.84</v>
      </c>
      <c r="J37" s="966"/>
      <c r="K37" s="343"/>
      <c r="L37" s="702"/>
      <c r="M37" s="970"/>
      <c r="N37" s="927"/>
      <c r="O37" s="927"/>
      <c r="P37" s="927"/>
      <c r="Q37" s="927"/>
      <c r="R37" s="921"/>
      <c r="S37" s="1059"/>
      <c r="T37" s="872"/>
      <c r="U37" s="872"/>
      <c r="V37" s="872"/>
      <c r="W37" s="872"/>
      <c r="X37" s="921"/>
      <c r="Y37" s="872"/>
      <c r="Z37" s="876"/>
      <c r="AA37" s="879"/>
      <c r="AB37" s="879"/>
      <c r="AC37" s="882"/>
      <c r="AD37" s="58"/>
      <c r="AE37" s="79"/>
      <c r="AF37" s="59"/>
      <c r="AG37" s="9"/>
      <c r="AH37" s="1019"/>
      <c r="AI37" s="1027"/>
      <c r="AJ37" s="1000"/>
      <c r="AK37" s="1027"/>
      <c r="AL37" s="1016"/>
      <c r="AM37" s="58"/>
    </row>
    <row r="38" spans="1:39" s="10" customFormat="1" ht="17.100000000000001" customHeight="1" x14ac:dyDescent="0.3">
      <c r="A38" s="1083"/>
      <c r="B38" s="889"/>
      <c r="C38" s="940" t="s">
        <v>188</v>
      </c>
      <c r="D38" s="940"/>
      <c r="E38" s="11" t="s">
        <v>954</v>
      </c>
      <c r="F38" s="233">
        <v>0.2094</v>
      </c>
      <c r="G38" s="146">
        <v>10</v>
      </c>
      <c r="H38" s="294">
        <v>46206</v>
      </c>
      <c r="I38" s="13">
        <v>0.68</v>
      </c>
      <c r="J38" s="966"/>
      <c r="K38" s="343"/>
      <c r="L38" s="627"/>
      <c r="M38" s="970"/>
      <c r="N38" s="927"/>
      <c r="O38" s="927"/>
      <c r="P38" s="927"/>
      <c r="Q38" s="927"/>
      <c r="R38" s="921"/>
      <c r="S38" s="1059"/>
      <c r="T38" s="872"/>
      <c r="U38" s="872"/>
      <c r="V38" s="872"/>
      <c r="W38" s="872"/>
      <c r="X38" s="921"/>
      <c r="Y38" s="872"/>
      <c r="Z38" s="876"/>
      <c r="AA38" s="879"/>
      <c r="AB38" s="879"/>
      <c r="AC38" s="882"/>
      <c r="AD38" s="62"/>
      <c r="AE38" s="81"/>
      <c r="AF38" s="63"/>
      <c r="AG38" s="9"/>
      <c r="AH38" s="1019"/>
      <c r="AI38" s="1027"/>
      <c r="AJ38" s="1000"/>
      <c r="AK38" s="1027"/>
      <c r="AL38" s="1016"/>
      <c r="AM38" s="62"/>
    </row>
    <row r="39" spans="1:39" s="10" customFormat="1" ht="17.100000000000001" customHeight="1" x14ac:dyDescent="0.3">
      <c r="A39" s="1084"/>
      <c r="B39" s="890"/>
      <c r="C39" s="890"/>
      <c r="D39" s="941"/>
      <c r="E39" s="134" t="s">
        <v>183</v>
      </c>
      <c r="F39" s="223"/>
      <c r="G39" s="144">
        <v>10</v>
      </c>
      <c r="H39" s="142"/>
      <c r="I39" s="128" t="s">
        <v>336</v>
      </c>
      <c r="J39" s="1141"/>
      <c r="K39" s="347"/>
      <c r="L39" s="358"/>
      <c r="M39" s="969"/>
      <c r="N39" s="319">
        <v>44977</v>
      </c>
      <c r="O39" s="323"/>
      <c r="P39" s="319">
        <v>45708</v>
      </c>
      <c r="Q39" s="318" t="s">
        <v>323</v>
      </c>
      <c r="R39" s="946"/>
      <c r="S39" s="1060"/>
      <c r="T39" s="874"/>
      <c r="U39" s="874"/>
      <c r="V39" s="874"/>
      <c r="W39" s="874"/>
      <c r="X39" s="946"/>
      <c r="Y39" s="874"/>
      <c r="Z39" s="877"/>
      <c r="AA39" s="880"/>
      <c r="AB39" s="880"/>
      <c r="AC39" s="883"/>
      <c r="AD39" s="131"/>
      <c r="AE39" s="132"/>
      <c r="AF39" s="133"/>
      <c r="AG39" s="9"/>
      <c r="AH39" s="1019"/>
      <c r="AI39" s="1027"/>
      <c r="AJ39" s="1001"/>
      <c r="AK39" s="1027"/>
      <c r="AL39" s="1016"/>
      <c r="AM39" s="131"/>
    </row>
    <row r="40" spans="1:39" s="10" customFormat="1" ht="17.100000000000001" customHeight="1" x14ac:dyDescent="0.3">
      <c r="A40" s="1092">
        <v>46752</v>
      </c>
      <c r="B40" s="955" t="s">
        <v>874</v>
      </c>
      <c r="C40" s="889" t="s">
        <v>134</v>
      </c>
      <c r="D40" s="926">
        <v>1</v>
      </c>
      <c r="E40" s="5" t="s">
        <v>115</v>
      </c>
      <c r="F40" s="390" t="s">
        <v>1</v>
      </c>
      <c r="G40" s="145">
        <v>10</v>
      </c>
      <c r="H40" s="148">
        <v>46056</v>
      </c>
      <c r="I40" s="7">
        <v>0.7</v>
      </c>
      <c r="J40" s="955" t="s">
        <v>712</v>
      </c>
      <c r="K40" s="593" t="s">
        <v>870</v>
      </c>
      <c r="L40" s="594" t="s">
        <v>894</v>
      </c>
      <c r="M40" s="943" t="s">
        <v>406</v>
      </c>
      <c r="N40" s="888">
        <v>42936</v>
      </c>
      <c r="O40" s="888">
        <v>45492</v>
      </c>
      <c r="P40" s="888">
        <v>45857</v>
      </c>
      <c r="Q40" s="888"/>
      <c r="R40" s="871"/>
      <c r="S40" s="913"/>
      <c r="T40" s="1055">
        <v>44397</v>
      </c>
      <c r="U40" s="1055">
        <v>45126</v>
      </c>
      <c r="V40" s="1055">
        <v>45857</v>
      </c>
      <c r="W40" s="1055" t="s">
        <v>434</v>
      </c>
      <c r="X40" s="871"/>
      <c r="Y40" s="1039" t="s">
        <v>435</v>
      </c>
      <c r="Z40" s="1037">
        <v>45840</v>
      </c>
      <c r="AA40" s="878" t="s">
        <v>361</v>
      </c>
      <c r="AB40" s="878" t="s">
        <v>363</v>
      </c>
      <c r="AC40" s="881"/>
      <c r="AD40" s="64"/>
      <c r="AE40" s="78"/>
      <c r="AF40" s="57"/>
      <c r="AG40" s="23" t="s">
        <v>140</v>
      </c>
      <c r="AH40" s="928" t="s">
        <v>165</v>
      </c>
      <c r="AI40" s="915" t="s">
        <v>164</v>
      </c>
      <c r="AJ40" s="916" t="s">
        <v>164</v>
      </c>
      <c r="AK40" s="915"/>
      <c r="AL40" s="933"/>
      <c r="AM40" s="64"/>
    </row>
    <row r="41" spans="1:39" s="10" customFormat="1" ht="17.100000000000001" customHeight="1" x14ac:dyDescent="0.3">
      <c r="A41" s="1083"/>
      <c r="B41" s="889"/>
      <c r="C41" s="889"/>
      <c r="D41" s="927"/>
      <c r="E41" s="11" t="s">
        <v>151</v>
      </c>
      <c r="F41" s="243" t="s">
        <v>585</v>
      </c>
      <c r="G41" s="146">
        <v>10</v>
      </c>
      <c r="H41" s="149">
        <v>46056</v>
      </c>
      <c r="I41" s="13">
        <v>0.8</v>
      </c>
      <c r="J41" s="889"/>
      <c r="K41" s="342" t="s">
        <v>870</v>
      </c>
      <c r="L41" s="359" t="s">
        <v>895</v>
      </c>
      <c r="M41" s="944"/>
      <c r="N41" s="954"/>
      <c r="O41" s="954"/>
      <c r="P41" s="954"/>
      <c r="Q41" s="954"/>
      <c r="R41" s="872"/>
      <c r="S41" s="955"/>
      <c r="T41" s="1056"/>
      <c r="U41" s="1056"/>
      <c r="V41" s="1056"/>
      <c r="W41" s="1056"/>
      <c r="X41" s="872"/>
      <c r="Y41" s="1040"/>
      <c r="Z41" s="1033"/>
      <c r="AA41" s="879"/>
      <c r="AB41" s="879"/>
      <c r="AC41" s="882"/>
      <c r="AD41" s="58"/>
      <c r="AE41" s="79"/>
      <c r="AF41" s="59"/>
      <c r="AG41" s="9"/>
      <c r="AH41" s="928"/>
      <c r="AI41" s="915"/>
      <c r="AJ41" s="917"/>
      <c r="AK41" s="915"/>
      <c r="AL41" s="933"/>
      <c r="AM41" s="58"/>
    </row>
    <row r="42" spans="1:39" s="10" customFormat="1" ht="17.100000000000001" customHeight="1" x14ac:dyDescent="0.3">
      <c r="A42" s="1083"/>
      <c r="B42" s="889"/>
      <c r="C42" s="889"/>
      <c r="D42" s="927"/>
      <c r="E42" s="11" t="s">
        <v>51</v>
      </c>
      <c r="F42" s="233">
        <v>1.9800000000000002E-2</v>
      </c>
      <c r="G42" s="146">
        <v>10</v>
      </c>
      <c r="H42" s="149">
        <v>46219</v>
      </c>
      <c r="I42" s="13">
        <v>1</v>
      </c>
      <c r="J42" s="889"/>
      <c r="K42" s="343"/>
      <c r="L42" s="640"/>
      <c r="M42" s="944"/>
      <c r="N42" s="873">
        <v>42550</v>
      </c>
      <c r="O42" s="873">
        <v>45471</v>
      </c>
      <c r="P42" s="873">
        <v>45836</v>
      </c>
      <c r="Q42" s="873"/>
      <c r="R42" s="872"/>
      <c r="S42" s="955"/>
      <c r="T42" s="872">
        <v>42550</v>
      </c>
      <c r="U42" s="872">
        <v>45471</v>
      </c>
      <c r="V42" s="872">
        <v>45836</v>
      </c>
      <c r="W42" s="872" t="s">
        <v>635</v>
      </c>
      <c r="X42" s="872"/>
      <c r="Y42" s="1040"/>
      <c r="Z42" s="1033"/>
      <c r="AA42" s="879"/>
      <c r="AB42" s="879"/>
      <c r="AC42" s="882"/>
      <c r="AD42" s="58"/>
      <c r="AE42" s="79"/>
      <c r="AF42" s="59"/>
      <c r="AG42" s="9"/>
      <c r="AH42" s="928"/>
      <c r="AI42" s="915"/>
      <c r="AJ42" s="917"/>
      <c r="AK42" s="915"/>
      <c r="AL42" s="933"/>
      <c r="AM42" s="58"/>
    </row>
    <row r="43" spans="1:39" s="10" customFormat="1" ht="17.100000000000001" customHeight="1" x14ac:dyDescent="0.3">
      <c r="A43" s="1083"/>
      <c r="B43" s="889"/>
      <c r="C43" s="889"/>
      <c r="D43" s="940"/>
      <c r="E43" s="181" t="s">
        <v>37</v>
      </c>
      <c r="F43" s="234">
        <v>0.20180000000000001</v>
      </c>
      <c r="G43" s="338">
        <v>10</v>
      </c>
      <c r="H43" s="183">
        <v>46056</v>
      </c>
      <c r="I43" s="184">
        <v>0.5</v>
      </c>
      <c r="J43" s="889"/>
      <c r="K43" s="342" t="s">
        <v>870</v>
      </c>
      <c r="L43" s="359" t="s">
        <v>894</v>
      </c>
      <c r="M43" s="944"/>
      <c r="N43" s="954"/>
      <c r="O43" s="954"/>
      <c r="P43" s="954"/>
      <c r="Q43" s="954"/>
      <c r="R43" s="872"/>
      <c r="S43" s="955"/>
      <c r="T43" s="872"/>
      <c r="U43" s="872"/>
      <c r="V43" s="872"/>
      <c r="W43" s="872"/>
      <c r="X43" s="872"/>
      <c r="Y43" s="1040"/>
      <c r="Z43" s="1033"/>
      <c r="AA43" s="879"/>
      <c r="AB43" s="879"/>
      <c r="AC43" s="882"/>
      <c r="AD43" s="58"/>
      <c r="AE43" s="79"/>
      <c r="AF43" s="59"/>
      <c r="AG43" s="9"/>
      <c r="AH43" s="928"/>
      <c r="AI43" s="915"/>
      <c r="AJ43" s="917"/>
      <c r="AK43" s="915"/>
      <c r="AL43" s="933"/>
      <c r="AM43" s="58"/>
    </row>
    <row r="44" spans="1:39" s="10" customFormat="1" ht="17.100000000000001" customHeight="1" x14ac:dyDescent="0.3">
      <c r="A44" s="1083"/>
      <c r="B44" s="889"/>
      <c r="C44" s="889"/>
      <c r="D44" s="923"/>
      <c r="E44" s="181" t="s">
        <v>183</v>
      </c>
      <c r="F44" s="234"/>
      <c r="G44" s="182"/>
      <c r="H44" s="183"/>
      <c r="I44" s="184"/>
      <c r="J44" s="889"/>
      <c r="K44" s="343"/>
      <c r="L44" s="565"/>
      <c r="M44" s="944"/>
      <c r="N44" s="333">
        <v>42550</v>
      </c>
      <c r="O44" s="333">
        <v>45471</v>
      </c>
      <c r="P44" s="333">
        <v>45836</v>
      </c>
      <c r="Q44" s="333"/>
      <c r="R44" s="378"/>
      <c r="S44" s="955"/>
      <c r="T44" s="872"/>
      <c r="U44" s="872"/>
      <c r="V44" s="872"/>
      <c r="W44" s="872"/>
      <c r="X44" s="872"/>
      <c r="Y44" s="1040"/>
      <c r="Z44" s="1033"/>
      <c r="AA44" s="879"/>
      <c r="AB44" s="879"/>
      <c r="AC44" s="882"/>
      <c r="AD44" s="58"/>
      <c r="AE44" s="79"/>
      <c r="AF44" s="59"/>
      <c r="AG44" s="9"/>
      <c r="AH44" s="928"/>
      <c r="AI44" s="915"/>
      <c r="AJ44" s="917"/>
      <c r="AK44" s="915"/>
      <c r="AL44" s="933"/>
      <c r="AM44" s="58"/>
    </row>
    <row r="45" spans="1:39" s="10" customFormat="1" ht="17.100000000000001" customHeight="1" x14ac:dyDescent="0.3">
      <c r="A45" s="1083"/>
      <c r="B45" s="889"/>
      <c r="C45" s="889"/>
      <c r="D45" s="902">
        <v>2</v>
      </c>
      <c r="E45" s="91" t="s">
        <v>115</v>
      </c>
      <c r="F45" s="390" t="s">
        <v>1</v>
      </c>
      <c r="G45" s="156">
        <v>10</v>
      </c>
      <c r="H45" s="152">
        <v>46056</v>
      </c>
      <c r="I45" s="36">
        <v>0.9</v>
      </c>
      <c r="J45" s="889"/>
      <c r="K45" s="342" t="s">
        <v>870</v>
      </c>
      <c r="L45" s="359" t="s">
        <v>894</v>
      </c>
      <c r="M45" s="944"/>
      <c r="N45" s="872">
        <f>N40</f>
        <v>42936</v>
      </c>
      <c r="O45" s="872">
        <v>45492</v>
      </c>
      <c r="P45" s="872">
        <v>45857</v>
      </c>
      <c r="Q45" s="873"/>
      <c r="R45" s="872"/>
      <c r="S45" s="955"/>
      <c r="T45" s="872">
        <v>42936</v>
      </c>
      <c r="U45" s="872">
        <v>45492</v>
      </c>
      <c r="V45" s="872">
        <v>45857</v>
      </c>
      <c r="W45" s="872" t="s">
        <v>437</v>
      </c>
      <c r="X45" s="872"/>
      <c r="Y45" s="1040"/>
      <c r="Z45" s="1033"/>
      <c r="AA45" s="879"/>
      <c r="AB45" s="879"/>
      <c r="AC45" s="882"/>
      <c r="AD45" s="58"/>
      <c r="AE45" s="79"/>
      <c r="AF45" s="59"/>
      <c r="AG45" s="23"/>
      <c r="AH45" s="928"/>
      <c r="AI45" s="915"/>
      <c r="AJ45" s="917"/>
      <c r="AK45" s="915"/>
      <c r="AL45" s="933"/>
      <c r="AM45" s="58"/>
    </row>
    <row r="46" spans="1:39" s="10" customFormat="1" ht="17.100000000000001" customHeight="1" x14ac:dyDescent="0.3">
      <c r="A46" s="1083"/>
      <c r="B46" s="889"/>
      <c r="C46" s="889"/>
      <c r="D46" s="927"/>
      <c r="E46" s="11" t="s">
        <v>151</v>
      </c>
      <c r="F46" s="243" t="s">
        <v>586</v>
      </c>
      <c r="G46" s="146">
        <v>10</v>
      </c>
      <c r="H46" s="149">
        <v>46056</v>
      </c>
      <c r="I46" s="13">
        <v>0.9</v>
      </c>
      <c r="J46" s="889"/>
      <c r="K46" s="342" t="s">
        <v>870</v>
      </c>
      <c r="L46" s="359" t="s">
        <v>894</v>
      </c>
      <c r="M46" s="944"/>
      <c r="N46" s="872"/>
      <c r="O46" s="872"/>
      <c r="P46" s="872"/>
      <c r="Q46" s="954"/>
      <c r="R46" s="872"/>
      <c r="S46" s="955"/>
      <c r="T46" s="872"/>
      <c r="U46" s="872"/>
      <c r="V46" s="872"/>
      <c r="W46" s="872"/>
      <c r="X46" s="872"/>
      <c r="Y46" s="1040"/>
      <c r="Z46" s="1033"/>
      <c r="AA46" s="879"/>
      <c r="AB46" s="879"/>
      <c r="AC46" s="882"/>
      <c r="AD46" s="58"/>
      <c r="AE46" s="79"/>
      <c r="AF46" s="59"/>
      <c r="AG46" s="9"/>
      <c r="AH46" s="928"/>
      <c r="AI46" s="915"/>
      <c r="AJ46" s="917"/>
      <c r="AK46" s="915"/>
      <c r="AL46" s="933"/>
      <c r="AM46" s="58"/>
    </row>
    <row r="47" spans="1:39" s="10" customFormat="1" ht="17.100000000000001" customHeight="1" x14ac:dyDescent="0.3">
      <c r="A47" s="1083"/>
      <c r="B47" s="889"/>
      <c r="C47" s="889"/>
      <c r="D47" s="940"/>
      <c r="E47" s="11" t="s">
        <v>51</v>
      </c>
      <c r="F47" s="233">
        <v>0.02</v>
      </c>
      <c r="G47" s="146">
        <v>10</v>
      </c>
      <c r="H47" s="151">
        <v>46056</v>
      </c>
      <c r="I47" s="34">
        <v>0.9</v>
      </c>
      <c r="J47" s="889"/>
      <c r="K47" s="342" t="s">
        <v>870</v>
      </c>
      <c r="L47" s="359" t="s">
        <v>894</v>
      </c>
      <c r="M47" s="944"/>
      <c r="N47" s="873">
        <v>44734</v>
      </c>
      <c r="O47" s="873">
        <v>45098</v>
      </c>
      <c r="P47" s="873">
        <v>45829</v>
      </c>
      <c r="Q47" s="873" t="s">
        <v>438</v>
      </c>
      <c r="R47" s="872"/>
      <c r="S47" s="955"/>
      <c r="T47" s="872">
        <v>44734</v>
      </c>
      <c r="U47" s="872">
        <v>45098</v>
      </c>
      <c r="V47" s="872">
        <v>45829</v>
      </c>
      <c r="W47" s="872" t="s">
        <v>436</v>
      </c>
      <c r="X47" s="872"/>
      <c r="Y47" s="1040"/>
      <c r="Z47" s="1033"/>
      <c r="AA47" s="879"/>
      <c r="AB47" s="879"/>
      <c r="AC47" s="882"/>
      <c r="AD47" s="62"/>
      <c r="AE47" s="81"/>
      <c r="AF47" s="63"/>
      <c r="AG47" s="9"/>
      <c r="AH47" s="928"/>
      <c r="AI47" s="915"/>
      <c r="AJ47" s="917"/>
      <c r="AK47" s="915"/>
      <c r="AL47" s="933"/>
      <c r="AM47" s="62"/>
    </row>
    <row r="48" spans="1:39" s="10" customFormat="1" ht="17.100000000000001" customHeight="1" x14ac:dyDescent="0.3">
      <c r="A48" s="1083"/>
      <c r="B48" s="889"/>
      <c r="C48" s="889"/>
      <c r="D48" s="940"/>
      <c r="E48" s="11" t="s">
        <v>37</v>
      </c>
      <c r="F48" s="233">
        <v>0.2001</v>
      </c>
      <c r="G48" s="337">
        <v>10</v>
      </c>
      <c r="H48" s="335">
        <v>46056</v>
      </c>
      <c r="I48" s="13">
        <v>0.9</v>
      </c>
      <c r="J48" s="889"/>
      <c r="K48" s="342" t="s">
        <v>870</v>
      </c>
      <c r="L48" s="359" t="s">
        <v>894</v>
      </c>
      <c r="M48" s="944"/>
      <c r="N48" s="954"/>
      <c r="O48" s="954"/>
      <c r="P48" s="954"/>
      <c r="Q48" s="954"/>
      <c r="R48" s="872"/>
      <c r="S48" s="955"/>
      <c r="T48" s="873"/>
      <c r="U48" s="873"/>
      <c r="V48" s="873"/>
      <c r="W48" s="873"/>
      <c r="X48" s="872"/>
      <c r="Y48" s="1040"/>
      <c r="Z48" s="1034"/>
      <c r="AA48" s="879"/>
      <c r="AB48" s="879"/>
      <c r="AC48" s="882"/>
      <c r="AD48" s="62"/>
      <c r="AE48" s="80"/>
      <c r="AF48" s="61"/>
      <c r="AG48" s="9"/>
      <c r="AH48" s="928"/>
      <c r="AI48" s="915"/>
      <c r="AJ48" s="917"/>
      <c r="AK48" s="915"/>
      <c r="AL48" s="933"/>
      <c r="AM48" s="60"/>
    </row>
    <row r="49" spans="1:39" s="10" customFormat="1" ht="17.100000000000001" customHeight="1" x14ac:dyDescent="0.3">
      <c r="A49" s="1084"/>
      <c r="B49" s="890"/>
      <c r="C49" s="890"/>
      <c r="D49" s="941"/>
      <c r="E49" s="134" t="s">
        <v>183</v>
      </c>
      <c r="F49" s="374"/>
      <c r="G49" s="334"/>
      <c r="H49" s="339"/>
      <c r="I49" s="340"/>
      <c r="J49" s="890"/>
      <c r="K49" s="344"/>
      <c r="L49" s="356"/>
      <c r="M49" s="945"/>
      <c r="N49" s="336">
        <v>42936</v>
      </c>
      <c r="O49" s="336">
        <v>45492</v>
      </c>
      <c r="P49" s="336">
        <v>45857</v>
      </c>
      <c r="Q49" s="339"/>
      <c r="R49" s="377"/>
      <c r="S49" s="1085"/>
      <c r="T49" s="874"/>
      <c r="U49" s="874"/>
      <c r="V49" s="874"/>
      <c r="W49" s="874"/>
      <c r="X49" s="874"/>
      <c r="Y49" s="1041"/>
      <c r="Z49" s="1038"/>
      <c r="AA49" s="880"/>
      <c r="AB49" s="880"/>
      <c r="AC49" s="883"/>
      <c r="AD49" s="60"/>
      <c r="AE49" s="80"/>
      <c r="AF49" s="61"/>
      <c r="AG49" s="9"/>
      <c r="AH49" s="928"/>
      <c r="AI49" s="915"/>
      <c r="AJ49" s="918"/>
      <c r="AK49" s="915"/>
      <c r="AL49" s="933"/>
      <c r="AM49" s="60"/>
    </row>
    <row r="50" spans="1:39" s="10" customFormat="1" ht="17.100000000000001" customHeight="1" x14ac:dyDescent="0.3">
      <c r="A50" s="1082">
        <v>46387</v>
      </c>
      <c r="B50" s="913" t="s">
        <v>974</v>
      </c>
      <c r="C50" s="891" t="s">
        <v>39</v>
      </c>
      <c r="D50" s="922" t="s">
        <v>152</v>
      </c>
      <c r="E50" s="19" t="s">
        <v>458</v>
      </c>
      <c r="F50" s="221" t="s">
        <v>1</v>
      </c>
      <c r="G50" s="497">
        <v>10</v>
      </c>
      <c r="H50" s="491">
        <v>46394</v>
      </c>
      <c r="I50" s="7">
        <v>1</v>
      </c>
      <c r="J50" s="952" t="s">
        <v>409</v>
      </c>
      <c r="K50" s="345"/>
      <c r="L50" s="760"/>
      <c r="M50" s="968" t="s">
        <v>553</v>
      </c>
      <c r="N50" s="888">
        <v>44466</v>
      </c>
      <c r="O50" s="888">
        <v>45889</v>
      </c>
      <c r="P50" s="888">
        <v>46253</v>
      </c>
      <c r="Q50" s="888"/>
      <c r="R50" s="1110" t="s">
        <v>923</v>
      </c>
      <c r="S50" s="1062" t="s">
        <v>923</v>
      </c>
      <c r="T50" s="871">
        <v>44466</v>
      </c>
      <c r="U50" s="888">
        <v>45741</v>
      </c>
      <c r="V50" s="888">
        <v>46105</v>
      </c>
      <c r="W50" s="871"/>
      <c r="X50" s="1062" t="s">
        <v>923</v>
      </c>
      <c r="Y50" s="959"/>
      <c r="Z50" s="897">
        <v>46055</v>
      </c>
      <c r="AA50" s="1045" t="s">
        <v>633</v>
      </c>
      <c r="AB50" s="878" t="s">
        <v>362</v>
      </c>
      <c r="AC50" s="881">
        <v>3120000</v>
      </c>
      <c r="AD50" s="326" t="s">
        <v>706</v>
      </c>
      <c r="AE50" s="82"/>
      <c r="AF50" s="65"/>
      <c r="AG50" s="23"/>
      <c r="AH50" s="928" t="s">
        <v>160</v>
      </c>
      <c r="AI50" s="915" t="s">
        <v>160</v>
      </c>
      <c r="AJ50" s="916" t="s">
        <v>160</v>
      </c>
      <c r="AK50" s="915"/>
      <c r="AL50" s="933"/>
      <c r="AM50" s="56"/>
    </row>
    <row r="51" spans="1:39" s="10" customFormat="1" ht="17.100000000000001" customHeight="1" x14ac:dyDescent="0.3">
      <c r="A51" s="1083"/>
      <c r="B51" s="955"/>
      <c r="C51" s="889"/>
      <c r="D51" s="927"/>
      <c r="E51" s="11" t="s">
        <v>147</v>
      </c>
      <c r="F51" s="243" t="s">
        <v>258</v>
      </c>
      <c r="G51" s="498">
        <v>10</v>
      </c>
      <c r="H51" s="492">
        <v>46395</v>
      </c>
      <c r="I51" s="13">
        <v>1</v>
      </c>
      <c r="J51" s="966"/>
      <c r="K51" s="343"/>
      <c r="L51" s="761"/>
      <c r="M51" s="970"/>
      <c r="N51" s="921"/>
      <c r="O51" s="921"/>
      <c r="P51" s="921"/>
      <c r="Q51" s="921"/>
      <c r="R51" s="1063"/>
      <c r="S51" s="1105"/>
      <c r="T51" s="872"/>
      <c r="U51" s="921"/>
      <c r="V51" s="921"/>
      <c r="W51" s="872"/>
      <c r="X51" s="1063"/>
      <c r="Y51" s="1059"/>
      <c r="Z51" s="876"/>
      <c r="AA51" s="1046"/>
      <c r="AB51" s="879"/>
      <c r="AC51" s="882"/>
      <c r="AD51" s="58"/>
      <c r="AE51" s="79"/>
      <c r="AF51" s="59"/>
      <c r="AG51" s="9"/>
      <c r="AH51" s="928"/>
      <c r="AI51" s="915"/>
      <c r="AJ51" s="917"/>
      <c r="AK51" s="915"/>
      <c r="AL51" s="933"/>
      <c r="AM51" s="58"/>
    </row>
    <row r="52" spans="1:39" s="10" customFormat="1" ht="17.100000000000001" customHeight="1" x14ac:dyDescent="0.3">
      <c r="A52" s="1083"/>
      <c r="B52" s="955"/>
      <c r="C52" s="889"/>
      <c r="D52" s="940"/>
      <c r="E52" s="185" t="s">
        <v>184</v>
      </c>
      <c r="F52" s="234">
        <v>0.21029999999999999</v>
      </c>
      <c r="G52" s="505">
        <v>10</v>
      </c>
      <c r="H52" s="556">
        <v>46394</v>
      </c>
      <c r="I52" s="13">
        <v>1</v>
      </c>
      <c r="J52" s="966"/>
      <c r="K52" s="343"/>
      <c r="L52" s="761"/>
      <c r="M52" s="970"/>
      <c r="N52" s="954"/>
      <c r="O52" s="954"/>
      <c r="P52" s="954"/>
      <c r="Q52" s="954"/>
      <c r="R52" s="1063"/>
      <c r="S52" s="1105"/>
      <c r="T52" s="872"/>
      <c r="U52" s="921"/>
      <c r="V52" s="921"/>
      <c r="W52" s="872"/>
      <c r="X52" s="1063"/>
      <c r="Y52" s="1059"/>
      <c r="Z52" s="1033">
        <v>46072</v>
      </c>
      <c r="AA52" s="1046"/>
      <c r="AB52" s="879"/>
      <c r="AC52" s="882"/>
      <c r="AD52" s="58"/>
      <c r="AE52" s="80"/>
      <c r="AF52" s="61"/>
      <c r="AG52" s="9"/>
      <c r="AH52" s="928"/>
      <c r="AI52" s="915"/>
      <c r="AJ52" s="917"/>
      <c r="AK52" s="915"/>
      <c r="AL52" s="933"/>
      <c r="AM52" s="58"/>
    </row>
    <row r="53" spans="1:39" s="10" customFormat="1" ht="17.100000000000001" customHeight="1" x14ac:dyDescent="0.3">
      <c r="A53" s="1083"/>
      <c r="B53" s="955"/>
      <c r="C53" s="889"/>
      <c r="D53" s="923"/>
      <c r="E53" s="185" t="s">
        <v>481</v>
      </c>
      <c r="F53" s="234"/>
      <c r="G53" s="505"/>
      <c r="H53" s="183"/>
      <c r="I53" s="184"/>
      <c r="J53" s="966"/>
      <c r="K53" s="343"/>
      <c r="L53" s="761"/>
      <c r="M53" s="970"/>
      <c r="N53" s="700">
        <v>45784</v>
      </c>
      <c r="O53" s="701"/>
      <c r="P53" s="701">
        <v>46513</v>
      </c>
      <c r="Q53" s="701"/>
      <c r="R53" s="1063"/>
      <c r="S53" s="1105"/>
      <c r="T53" s="872"/>
      <c r="U53" s="954"/>
      <c r="V53" s="954"/>
      <c r="W53" s="872"/>
      <c r="X53" s="1063"/>
      <c r="Y53" s="1059"/>
      <c r="Z53" s="1033"/>
      <c r="AA53" s="1046"/>
      <c r="AB53" s="879"/>
      <c r="AC53" s="882"/>
      <c r="AD53" s="58"/>
      <c r="AE53" s="80"/>
      <c r="AF53" s="61"/>
      <c r="AG53" s="9"/>
      <c r="AH53" s="928"/>
      <c r="AI53" s="915"/>
      <c r="AJ53" s="917"/>
      <c r="AK53" s="915"/>
      <c r="AL53" s="933"/>
      <c r="AM53" s="58"/>
    </row>
    <row r="54" spans="1:39" s="10" customFormat="1" ht="17.100000000000001" customHeight="1" x14ac:dyDescent="0.3">
      <c r="A54" s="1083"/>
      <c r="B54" s="955"/>
      <c r="C54" s="889"/>
      <c r="D54" s="980" t="s">
        <v>566</v>
      </c>
      <c r="E54" s="195" t="s">
        <v>816</v>
      </c>
      <c r="F54" s="222" t="s">
        <v>1</v>
      </c>
      <c r="G54" s="506">
        <v>10</v>
      </c>
      <c r="H54" s="494">
        <v>46395</v>
      </c>
      <c r="I54" s="36">
        <v>1</v>
      </c>
      <c r="J54" s="966"/>
      <c r="K54" s="343"/>
      <c r="L54" s="761"/>
      <c r="M54" s="970"/>
      <c r="N54" s="873">
        <v>44475</v>
      </c>
      <c r="O54" s="873">
        <v>45935</v>
      </c>
      <c r="P54" s="873">
        <v>46300</v>
      </c>
      <c r="Q54" s="873" t="s">
        <v>845</v>
      </c>
      <c r="R54" s="1063"/>
      <c r="S54" s="1105"/>
      <c r="T54" s="872">
        <v>44467</v>
      </c>
      <c r="U54" s="872">
        <v>45927</v>
      </c>
      <c r="V54" s="873">
        <v>46292</v>
      </c>
      <c r="W54" s="872"/>
      <c r="X54" s="1063"/>
      <c r="Y54" s="1059"/>
      <c r="Z54" s="1034">
        <v>46055</v>
      </c>
      <c r="AA54" s="1046"/>
      <c r="AB54" s="879"/>
      <c r="AC54" s="882"/>
      <c r="AD54" s="58"/>
      <c r="AE54" s="82"/>
      <c r="AF54" s="65"/>
      <c r="AG54" s="23"/>
      <c r="AH54" s="928"/>
      <c r="AI54" s="915"/>
      <c r="AJ54" s="917"/>
      <c r="AK54" s="915"/>
      <c r="AL54" s="933"/>
      <c r="AM54" s="58"/>
    </row>
    <row r="55" spans="1:39" s="10" customFormat="1" ht="17.100000000000001" customHeight="1" x14ac:dyDescent="0.3">
      <c r="A55" s="1083"/>
      <c r="B55" s="955"/>
      <c r="C55" s="889"/>
      <c r="D55" s="927"/>
      <c r="E55" s="11" t="s">
        <v>193</v>
      </c>
      <c r="F55" s="243" t="s">
        <v>259</v>
      </c>
      <c r="G55" s="498">
        <v>10</v>
      </c>
      <c r="H55" s="492">
        <v>46395</v>
      </c>
      <c r="I55" s="13">
        <v>1</v>
      </c>
      <c r="J55" s="966"/>
      <c r="K55" s="343"/>
      <c r="L55" s="761"/>
      <c r="M55" s="970"/>
      <c r="N55" s="921"/>
      <c r="O55" s="921"/>
      <c r="P55" s="921"/>
      <c r="Q55" s="921"/>
      <c r="R55" s="1063"/>
      <c r="S55" s="1105"/>
      <c r="T55" s="927"/>
      <c r="U55" s="872"/>
      <c r="V55" s="921"/>
      <c r="W55" s="872"/>
      <c r="X55" s="1063"/>
      <c r="Y55" s="1059"/>
      <c r="Z55" s="876"/>
      <c r="AA55" s="1046"/>
      <c r="AB55" s="879"/>
      <c r="AC55" s="882"/>
      <c r="AD55" s="58"/>
      <c r="AE55" s="79"/>
      <c r="AF55" s="59"/>
      <c r="AG55" s="9"/>
      <c r="AH55" s="928"/>
      <c r="AI55" s="915"/>
      <c r="AJ55" s="917"/>
      <c r="AK55" s="915"/>
      <c r="AL55" s="933"/>
      <c r="AM55" s="58"/>
    </row>
    <row r="56" spans="1:39" s="10" customFormat="1" ht="17.100000000000001" customHeight="1" x14ac:dyDescent="0.3">
      <c r="A56" s="1083"/>
      <c r="B56" s="955"/>
      <c r="C56" s="889"/>
      <c r="D56" s="940"/>
      <c r="E56" s="185" t="s">
        <v>184</v>
      </c>
      <c r="F56" s="234">
        <v>0.21060000000000001</v>
      </c>
      <c r="G56" s="505">
        <v>10</v>
      </c>
      <c r="H56" s="183">
        <v>46394</v>
      </c>
      <c r="I56" s="184">
        <v>1</v>
      </c>
      <c r="J56" s="966"/>
      <c r="K56" s="343"/>
      <c r="L56" s="761"/>
      <c r="M56" s="970"/>
      <c r="N56" s="954"/>
      <c r="O56" s="954"/>
      <c r="P56" s="954"/>
      <c r="Q56" s="954"/>
      <c r="R56" s="1063"/>
      <c r="S56" s="1105"/>
      <c r="T56" s="927"/>
      <c r="U56" s="872"/>
      <c r="V56" s="921"/>
      <c r="W56" s="872"/>
      <c r="X56" s="1063"/>
      <c r="Y56" s="1059"/>
      <c r="Z56" s="1034">
        <v>46072</v>
      </c>
      <c r="AA56" s="1046"/>
      <c r="AB56" s="879"/>
      <c r="AC56" s="882"/>
      <c r="AD56" s="58"/>
      <c r="AE56" s="80"/>
      <c r="AF56" s="61"/>
      <c r="AG56" s="9"/>
      <c r="AH56" s="928"/>
      <c r="AI56" s="915"/>
      <c r="AJ56" s="917"/>
      <c r="AK56" s="915"/>
      <c r="AL56" s="933"/>
      <c r="AM56" s="58"/>
    </row>
    <row r="57" spans="1:39" s="10" customFormat="1" ht="17.100000000000001" customHeight="1" x14ac:dyDescent="0.3">
      <c r="A57" s="1083"/>
      <c r="B57" s="955"/>
      <c r="C57" s="889"/>
      <c r="D57" s="923"/>
      <c r="E57" s="480" t="s">
        <v>183</v>
      </c>
      <c r="F57" s="481" t="s">
        <v>619</v>
      </c>
      <c r="G57" s="482"/>
      <c r="H57" s="483"/>
      <c r="I57" s="484"/>
      <c r="J57" s="966"/>
      <c r="K57" s="343"/>
      <c r="L57" s="761"/>
      <c r="M57" s="970"/>
      <c r="N57" s="534">
        <v>45595</v>
      </c>
      <c r="O57" s="535"/>
      <c r="P57" s="533">
        <v>46324</v>
      </c>
      <c r="Q57" s="533" t="s">
        <v>693</v>
      </c>
      <c r="R57" s="1063"/>
      <c r="S57" s="1105"/>
      <c r="T57" s="927"/>
      <c r="U57" s="872"/>
      <c r="V57" s="954"/>
      <c r="W57" s="872"/>
      <c r="X57" s="1063"/>
      <c r="Y57" s="1059"/>
      <c r="Z57" s="1018"/>
      <c r="AA57" s="1046"/>
      <c r="AB57" s="879"/>
      <c r="AC57" s="882"/>
      <c r="AD57" s="58"/>
      <c r="AE57" s="80"/>
      <c r="AF57" s="61"/>
      <c r="AG57" s="9"/>
      <c r="AH57" s="928"/>
      <c r="AI57" s="915"/>
      <c r="AJ57" s="917"/>
      <c r="AK57" s="915"/>
      <c r="AL57" s="933"/>
      <c r="AM57" s="58"/>
    </row>
    <row r="58" spans="1:39" s="10" customFormat="1" ht="17.100000000000001" customHeight="1" x14ac:dyDescent="0.3">
      <c r="A58" s="1083"/>
      <c r="B58" s="955"/>
      <c r="C58" s="889"/>
      <c r="D58" s="980" t="s">
        <v>191</v>
      </c>
      <c r="E58" s="195" t="s">
        <v>457</v>
      </c>
      <c r="F58" s="222" t="s">
        <v>1</v>
      </c>
      <c r="G58" s="506">
        <v>10</v>
      </c>
      <c r="H58" s="557">
        <v>46395</v>
      </c>
      <c r="I58" s="36">
        <v>1</v>
      </c>
      <c r="J58" s="966"/>
      <c r="K58" s="343"/>
      <c r="L58" s="761"/>
      <c r="M58" s="970"/>
      <c r="N58" s="873">
        <v>44476</v>
      </c>
      <c r="O58" s="873">
        <v>45889</v>
      </c>
      <c r="P58" s="873">
        <v>46253</v>
      </c>
      <c r="Q58" s="873"/>
      <c r="R58" s="1063"/>
      <c r="S58" s="1105"/>
      <c r="T58" s="872">
        <v>44467</v>
      </c>
      <c r="U58" s="872">
        <v>45723</v>
      </c>
      <c r="V58" s="873">
        <v>46088</v>
      </c>
      <c r="W58" s="872"/>
      <c r="X58" s="1063"/>
      <c r="Y58" s="1059"/>
      <c r="Z58" s="1034">
        <v>46055</v>
      </c>
      <c r="AA58" s="1046"/>
      <c r="AB58" s="879"/>
      <c r="AC58" s="882"/>
      <c r="AD58" s="58"/>
      <c r="AE58" s="82"/>
      <c r="AF58" s="65"/>
      <c r="AG58" s="23"/>
      <c r="AH58" s="928"/>
      <c r="AI58" s="915"/>
      <c r="AJ58" s="917"/>
      <c r="AK58" s="915"/>
      <c r="AL58" s="933"/>
      <c r="AM58" s="58"/>
    </row>
    <row r="59" spans="1:39" s="10" customFormat="1" ht="17.100000000000001" customHeight="1" x14ac:dyDescent="0.3">
      <c r="A59" s="1083"/>
      <c r="B59" s="955"/>
      <c r="C59" s="889"/>
      <c r="D59" s="927"/>
      <c r="E59" s="11" t="s">
        <v>192</v>
      </c>
      <c r="F59" s="243" t="s">
        <v>260</v>
      </c>
      <c r="G59" s="498">
        <v>10</v>
      </c>
      <c r="H59" s="556">
        <v>46395</v>
      </c>
      <c r="I59" s="13">
        <v>0.98</v>
      </c>
      <c r="J59" s="966"/>
      <c r="K59" s="343"/>
      <c r="L59" s="761"/>
      <c r="M59" s="970"/>
      <c r="N59" s="921"/>
      <c r="O59" s="921"/>
      <c r="P59" s="921"/>
      <c r="Q59" s="921"/>
      <c r="R59" s="1063"/>
      <c r="S59" s="1105"/>
      <c r="T59" s="927"/>
      <c r="U59" s="872"/>
      <c r="V59" s="921"/>
      <c r="W59" s="872"/>
      <c r="X59" s="1063"/>
      <c r="Y59" s="1059"/>
      <c r="Z59" s="876"/>
      <c r="AA59" s="1046"/>
      <c r="AB59" s="879"/>
      <c r="AC59" s="882"/>
      <c r="AD59" s="58"/>
      <c r="AE59" s="79"/>
      <c r="AF59" s="59"/>
      <c r="AG59" s="9"/>
      <c r="AH59" s="928"/>
      <c r="AI59" s="915"/>
      <c r="AJ59" s="917"/>
      <c r="AK59" s="915"/>
      <c r="AL59" s="933"/>
      <c r="AM59" s="58"/>
    </row>
    <row r="60" spans="1:39" s="10" customFormat="1" ht="17.100000000000001" customHeight="1" x14ac:dyDescent="0.3">
      <c r="A60" s="1083"/>
      <c r="B60" s="955"/>
      <c r="C60" s="889"/>
      <c r="D60" s="940"/>
      <c r="E60" s="185" t="s">
        <v>184</v>
      </c>
      <c r="F60" s="234">
        <v>0.21060000000000001</v>
      </c>
      <c r="G60" s="505">
        <v>10</v>
      </c>
      <c r="H60" s="183">
        <v>46395</v>
      </c>
      <c r="I60" s="184">
        <v>1</v>
      </c>
      <c r="J60" s="966"/>
      <c r="K60" s="343"/>
      <c r="L60" s="761"/>
      <c r="M60" s="970"/>
      <c r="N60" s="954"/>
      <c r="O60" s="954"/>
      <c r="P60" s="954"/>
      <c r="Q60" s="954"/>
      <c r="R60" s="1063"/>
      <c r="S60" s="1105"/>
      <c r="T60" s="927"/>
      <c r="U60" s="872"/>
      <c r="V60" s="921"/>
      <c r="W60" s="872"/>
      <c r="X60" s="1063"/>
      <c r="Y60" s="1059"/>
      <c r="Z60" s="1033">
        <v>46072</v>
      </c>
      <c r="AA60" s="1046"/>
      <c r="AB60" s="879"/>
      <c r="AC60" s="882"/>
      <c r="AD60" s="58"/>
      <c r="AE60" s="80"/>
      <c r="AF60" s="61"/>
      <c r="AG60" s="9"/>
      <c r="AH60" s="928"/>
      <c r="AI60" s="915"/>
      <c r="AJ60" s="917"/>
      <c r="AK60" s="915"/>
      <c r="AL60" s="933"/>
      <c r="AM60" s="58"/>
    </row>
    <row r="61" spans="1:39" s="10" customFormat="1" ht="17.100000000000001" customHeight="1" x14ac:dyDescent="0.3">
      <c r="A61" s="1083"/>
      <c r="B61" s="955"/>
      <c r="C61" s="889"/>
      <c r="D61" s="923"/>
      <c r="E61" s="480" t="s">
        <v>183</v>
      </c>
      <c r="F61" s="481" t="s">
        <v>619</v>
      </c>
      <c r="G61" s="482"/>
      <c r="H61" s="483"/>
      <c r="I61" s="484"/>
      <c r="J61" s="966"/>
      <c r="K61" s="343"/>
      <c r="L61" s="761"/>
      <c r="M61" s="970"/>
      <c r="N61" s="534">
        <v>45470</v>
      </c>
      <c r="O61" s="535"/>
      <c r="P61" s="533">
        <v>46199</v>
      </c>
      <c r="Q61" s="533" t="s">
        <v>693</v>
      </c>
      <c r="R61" s="1111"/>
      <c r="S61" s="1106"/>
      <c r="T61" s="927"/>
      <c r="U61" s="872"/>
      <c r="V61" s="954"/>
      <c r="W61" s="872"/>
      <c r="X61" s="1063"/>
      <c r="Y61" s="1059"/>
      <c r="Z61" s="1033"/>
      <c r="AA61" s="1046"/>
      <c r="AB61" s="879"/>
      <c r="AC61" s="882"/>
      <c r="AD61" s="58"/>
      <c r="AE61" s="80"/>
      <c r="AF61" s="61"/>
      <c r="AG61" s="9"/>
      <c r="AH61" s="928"/>
      <c r="AI61" s="915"/>
      <c r="AJ61" s="917"/>
      <c r="AK61" s="915"/>
      <c r="AL61" s="933"/>
      <c r="AM61" s="58"/>
    </row>
    <row r="62" spans="1:39" s="10" customFormat="1" ht="17.100000000000001" customHeight="1" x14ac:dyDescent="0.3">
      <c r="A62" s="1083"/>
      <c r="B62" s="955"/>
      <c r="C62" s="889"/>
      <c r="D62" s="1147" t="s">
        <v>616</v>
      </c>
      <c r="E62" s="35" t="s">
        <v>460</v>
      </c>
      <c r="F62" s="213" t="s">
        <v>1</v>
      </c>
      <c r="G62" s="496">
        <v>10</v>
      </c>
      <c r="H62" s="494">
        <v>46395</v>
      </c>
      <c r="I62" s="36">
        <v>0.99</v>
      </c>
      <c r="J62" s="966"/>
      <c r="K62" s="343"/>
      <c r="L62" s="761"/>
      <c r="M62" s="970"/>
      <c r="N62" s="873">
        <v>44784</v>
      </c>
      <c r="O62" s="872">
        <v>45514</v>
      </c>
      <c r="P62" s="872">
        <v>46244</v>
      </c>
      <c r="Q62" s="872" t="s">
        <v>622</v>
      </c>
      <c r="R62" s="1244" t="s">
        <v>923</v>
      </c>
      <c r="S62" s="1244" t="s">
        <v>923</v>
      </c>
      <c r="T62" s="873">
        <v>44467</v>
      </c>
      <c r="U62" s="873">
        <v>45927</v>
      </c>
      <c r="V62" s="873">
        <v>46292</v>
      </c>
      <c r="W62" s="873"/>
      <c r="X62" s="1063"/>
      <c r="Y62" s="1059"/>
      <c r="Z62" s="1033">
        <v>46062</v>
      </c>
      <c r="AA62" s="1046"/>
      <c r="AB62" s="879"/>
      <c r="AC62" s="882"/>
      <c r="AD62" s="58"/>
      <c r="AE62" s="82"/>
      <c r="AF62" s="65"/>
      <c r="AG62" s="23"/>
      <c r="AH62" s="928"/>
      <c r="AI62" s="915"/>
      <c r="AJ62" s="917"/>
      <c r="AK62" s="915"/>
      <c r="AL62" s="933"/>
      <c r="AM62" s="58"/>
    </row>
    <row r="63" spans="1:39" s="10" customFormat="1" ht="17.100000000000001" customHeight="1" x14ac:dyDescent="0.3">
      <c r="A63" s="1083"/>
      <c r="B63" s="955"/>
      <c r="C63" s="889"/>
      <c r="D63" s="955"/>
      <c r="E63" s="507" t="s">
        <v>131</v>
      </c>
      <c r="F63" s="243" t="s">
        <v>620</v>
      </c>
      <c r="G63" s="498">
        <v>10</v>
      </c>
      <c r="H63" s="492">
        <v>46395</v>
      </c>
      <c r="I63" s="13">
        <v>0.99</v>
      </c>
      <c r="J63" s="966"/>
      <c r="K63" s="343"/>
      <c r="L63" s="761"/>
      <c r="M63" s="970"/>
      <c r="N63" s="889"/>
      <c r="O63" s="927"/>
      <c r="P63" s="927"/>
      <c r="Q63" s="872"/>
      <c r="R63" s="1105"/>
      <c r="S63" s="1105"/>
      <c r="T63" s="921"/>
      <c r="U63" s="921"/>
      <c r="V63" s="921"/>
      <c r="W63" s="921"/>
      <c r="X63" s="1063"/>
      <c r="Y63" s="1059"/>
      <c r="Z63" s="1033"/>
      <c r="AA63" s="1046"/>
      <c r="AB63" s="879"/>
      <c r="AC63" s="882"/>
      <c r="AD63" s="58"/>
      <c r="AE63" s="79"/>
      <c r="AF63" s="59"/>
      <c r="AG63" s="9"/>
      <c r="AH63" s="928"/>
      <c r="AI63" s="915"/>
      <c r="AJ63" s="917"/>
      <c r="AK63" s="915"/>
      <c r="AL63" s="933"/>
      <c r="AM63" s="58"/>
    </row>
    <row r="64" spans="1:39" s="10" customFormat="1" ht="17.100000000000001" customHeight="1" x14ac:dyDescent="0.3">
      <c r="A64" s="1083"/>
      <c r="B64" s="955"/>
      <c r="C64" s="889"/>
      <c r="D64" s="955"/>
      <c r="E64" s="185" t="s">
        <v>100</v>
      </c>
      <c r="F64" s="234">
        <v>0.21029999999999999</v>
      </c>
      <c r="G64" s="505">
        <v>10</v>
      </c>
      <c r="H64" s="183">
        <v>46395</v>
      </c>
      <c r="I64" s="184">
        <v>0.99</v>
      </c>
      <c r="J64" s="966"/>
      <c r="K64" s="343"/>
      <c r="L64" s="761"/>
      <c r="M64" s="970"/>
      <c r="N64" s="902"/>
      <c r="O64" s="927"/>
      <c r="P64" s="927"/>
      <c r="Q64" s="872"/>
      <c r="R64" s="1105"/>
      <c r="S64" s="1105"/>
      <c r="T64" s="921"/>
      <c r="U64" s="921"/>
      <c r="V64" s="921"/>
      <c r="W64" s="921"/>
      <c r="X64" s="1063"/>
      <c r="Y64" s="1059"/>
      <c r="Z64" s="1033">
        <v>46076</v>
      </c>
      <c r="AA64" s="1046"/>
      <c r="AB64" s="879"/>
      <c r="AC64" s="882"/>
      <c r="AD64" s="58"/>
      <c r="AE64" s="80"/>
      <c r="AF64" s="61"/>
      <c r="AG64" s="9"/>
      <c r="AH64" s="928"/>
      <c r="AI64" s="915"/>
      <c r="AJ64" s="917"/>
      <c r="AK64" s="915"/>
      <c r="AL64" s="933"/>
      <c r="AM64" s="58"/>
    </row>
    <row r="65" spans="1:39" s="10" customFormat="1" ht="17.100000000000001" customHeight="1" x14ac:dyDescent="0.3">
      <c r="A65" s="1083"/>
      <c r="B65" s="955"/>
      <c r="C65" s="889"/>
      <c r="D65" s="1152"/>
      <c r="E65" s="185" t="s">
        <v>183</v>
      </c>
      <c r="F65" s="234"/>
      <c r="G65" s="505"/>
      <c r="H65" s="183"/>
      <c r="I65" s="484"/>
      <c r="J65" s="966"/>
      <c r="K65" s="343"/>
      <c r="L65" s="761"/>
      <c r="M65" s="970"/>
      <c r="N65" s="494">
        <v>44868</v>
      </c>
      <c r="O65" s="492">
        <v>45525</v>
      </c>
      <c r="P65" s="492">
        <v>46254</v>
      </c>
      <c r="Q65" s="492" t="s">
        <v>637</v>
      </c>
      <c r="R65" s="1105"/>
      <c r="S65" s="1105"/>
      <c r="T65" s="954"/>
      <c r="U65" s="954"/>
      <c r="V65" s="954"/>
      <c r="W65" s="954"/>
      <c r="X65" s="1063"/>
      <c r="Y65" s="1059"/>
      <c r="Z65" s="1033"/>
      <c r="AA65" s="1046"/>
      <c r="AB65" s="879"/>
      <c r="AC65" s="882"/>
      <c r="AD65" s="58"/>
      <c r="AE65" s="80"/>
      <c r="AF65" s="61"/>
      <c r="AG65" s="9"/>
      <c r="AH65" s="928"/>
      <c r="AI65" s="915"/>
      <c r="AJ65" s="917"/>
      <c r="AK65" s="915"/>
      <c r="AL65" s="933"/>
      <c r="AM65" s="58"/>
    </row>
    <row r="66" spans="1:39" s="10" customFormat="1" ht="17.100000000000001" customHeight="1" x14ac:dyDescent="0.3">
      <c r="A66" s="1083"/>
      <c r="B66" s="955"/>
      <c r="C66" s="889"/>
      <c r="D66" s="1147" t="s">
        <v>567</v>
      </c>
      <c r="E66" s="195" t="s">
        <v>182</v>
      </c>
      <c r="F66" s="225" t="s">
        <v>1</v>
      </c>
      <c r="G66" s="506">
        <v>10</v>
      </c>
      <c r="H66" s="557">
        <v>46395</v>
      </c>
      <c r="I66" s="36">
        <v>0.99</v>
      </c>
      <c r="J66" s="966"/>
      <c r="K66" s="343"/>
      <c r="L66" s="761"/>
      <c r="M66" s="970"/>
      <c r="N66" s="873">
        <v>44784</v>
      </c>
      <c r="O66" s="873">
        <v>45514</v>
      </c>
      <c r="P66" s="873">
        <v>46244</v>
      </c>
      <c r="Q66" s="873" t="s">
        <v>623</v>
      </c>
      <c r="R66" s="1105"/>
      <c r="S66" s="1105"/>
      <c r="T66" s="873">
        <v>44467</v>
      </c>
      <c r="U66" s="873">
        <v>45927</v>
      </c>
      <c r="V66" s="873">
        <v>46292</v>
      </c>
      <c r="W66" s="873"/>
      <c r="X66" s="1063"/>
      <c r="Y66" s="1059"/>
      <c r="Z66" s="1033">
        <v>46062</v>
      </c>
      <c r="AA66" s="1046"/>
      <c r="AB66" s="879"/>
      <c r="AC66" s="882"/>
      <c r="AD66" s="58"/>
      <c r="AE66" s="82"/>
      <c r="AF66" s="65"/>
      <c r="AG66" s="23"/>
      <c r="AH66" s="928"/>
      <c r="AI66" s="915"/>
      <c r="AJ66" s="917"/>
      <c r="AK66" s="915"/>
      <c r="AL66" s="933"/>
      <c r="AM66" s="58"/>
    </row>
    <row r="67" spans="1:39" s="10" customFormat="1" ht="17.100000000000001" customHeight="1" x14ac:dyDescent="0.3">
      <c r="A67" s="1083"/>
      <c r="B67" s="955"/>
      <c r="C67" s="889"/>
      <c r="D67" s="955"/>
      <c r="E67" s="507" t="s">
        <v>131</v>
      </c>
      <c r="F67" s="243" t="s">
        <v>620</v>
      </c>
      <c r="G67" s="498">
        <v>10</v>
      </c>
      <c r="H67" s="556">
        <v>46395</v>
      </c>
      <c r="I67" s="13">
        <v>0.99</v>
      </c>
      <c r="J67" s="966"/>
      <c r="K67" s="343"/>
      <c r="L67" s="761"/>
      <c r="M67" s="970"/>
      <c r="N67" s="921"/>
      <c r="O67" s="921"/>
      <c r="P67" s="921"/>
      <c r="Q67" s="921"/>
      <c r="R67" s="1105"/>
      <c r="S67" s="1105"/>
      <c r="T67" s="921"/>
      <c r="U67" s="921"/>
      <c r="V67" s="921"/>
      <c r="W67" s="921"/>
      <c r="X67" s="1063"/>
      <c r="Y67" s="1059"/>
      <c r="Z67" s="1033"/>
      <c r="AA67" s="1046"/>
      <c r="AB67" s="879"/>
      <c r="AC67" s="882"/>
      <c r="AD67" s="58"/>
      <c r="AE67" s="79"/>
      <c r="AF67" s="59"/>
      <c r="AG67" s="9"/>
      <c r="AH67" s="928"/>
      <c r="AI67" s="915"/>
      <c r="AJ67" s="917"/>
      <c r="AK67" s="915"/>
      <c r="AL67" s="933"/>
      <c r="AM67" s="58"/>
    </row>
    <row r="68" spans="1:39" s="10" customFormat="1" ht="17.100000000000001" customHeight="1" x14ac:dyDescent="0.3">
      <c r="A68" s="1083"/>
      <c r="B68" s="955"/>
      <c r="C68" s="889"/>
      <c r="D68" s="955"/>
      <c r="E68" s="185" t="s">
        <v>100</v>
      </c>
      <c r="F68" s="234">
        <v>0.21029999999999999</v>
      </c>
      <c r="G68" s="505">
        <v>10</v>
      </c>
      <c r="H68" s="183">
        <v>46395</v>
      </c>
      <c r="I68" s="184">
        <v>0.99</v>
      </c>
      <c r="J68" s="966"/>
      <c r="K68" s="343"/>
      <c r="L68" s="761"/>
      <c r="M68" s="970"/>
      <c r="N68" s="921"/>
      <c r="O68" s="921"/>
      <c r="P68" s="921"/>
      <c r="Q68" s="921"/>
      <c r="R68" s="1105"/>
      <c r="S68" s="1105"/>
      <c r="T68" s="921"/>
      <c r="U68" s="921"/>
      <c r="V68" s="921"/>
      <c r="W68" s="921"/>
      <c r="X68" s="1063"/>
      <c r="Y68" s="1059"/>
      <c r="Z68" s="1033">
        <v>46076</v>
      </c>
      <c r="AA68" s="1046"/>
      <c r="AB68" s="879"/>
      <c r="AC68" s="882"/>
      <c r="AD68" s="58"/>
      <c r="AE68" s="80"/>
      <c r="AF68" s="61"/>
      <c r="AG68" s="9"/>
      <c r="AH68" s="928"/>
      <c r="AI68" s="915"/>
      <c r="AJ68" s="918"/>
      <c r="AK68" s="915"/>
      <c r="AL68" s="933"/>
      <c r="AM68" s="60"/>
    </row>
    <row r="69" spans="1:39" s="10" customFormat="1" ht="17.100000000000001" customHeight="1" x14ac:dyDescent="0.3">
      <c r="A69" s="1083"/>
      <c r="B69" s="955"/>
      <c r="C69" s="889"/>
      <c r="D69" s="1148"/>
      <c r="E69" s="185" t="s">
        <v>183</v>
      </c>
      <c r="F69" s="234"/>
      <c r="G69" s="505"/>
      <c r="H69" s="183"/>
      <c r="I69" s="484"/>
      <c r="J69" s="966"/>
      <c r="K69" s="343"/>
      <c r="L69" s="761"/>
      <c r="M69" s="970"/>
      <c r="N69" s="954"/>
      <c r="O69" s="954"/>
      <c r="P69" s="954"/>
      <c r="Q69" s="954"/>
      <c r="R69" s="1105"/>
      <c r="S69" s="1105"/>
      <c r="T69" s="954"/>
      <c r="U69" s="954"/>
      <c r="V69" s="954"/>
      <c r="W69" s="954"/>
      <c r="X69" s="1063"/>
      <c r="Y69" s="1059"/>
      <c r="Z69" s="1033"/>
      <c r="AA69" s="1046"/>
      <c r="AB69" s="879"/>
      <c r="AC69" s="882"/>
      <c r="AD69" s="58"/>
      <c r="AE69" s="80"/>
      <c r="AF69" s="61"/>
      <c r="AG69" s="9"/>
      <c r="AH69" s="501"/>
      <c r="AI69" s="503"/>
      <c r="AJ69" s="500"/>
      <c r="AK69" s="503"/>
      <c r="AL69" s="502"/>
      <c r="AM69" s="58"/>
    </row>
    <row r="70" spans="1:39" s="10" customFormat="1" ht="17.100000000000001" customHeight="1" x14ac:dyDescent="0.3">
      <c r="A70" s="1083"/>
      <c r="B70" s="955"/>
      <c r="C70" s="889"/>
      <c r="D70" s="955" t="s">
        <v>568</v>
      </c>
      <c r="E70" s="35" t="s">
        <v>459</v>
      </c>
      <c r="F70" s="213" t="s">
        <v>1</v>
      </c>
      <c r="G70" s="496">
        <v>10</v>
      </c>
      <c r="H70" s="557">
        <v>46395</v>
      </c>
      <c r="I70" s="36">
        <v>0.99</v>
      </c>
      <c r="J70" s="966"/>
      <c r="K70" s="343"/>
      <c r="L70" s="761"/>
      <c r="M70" s="970"/>
      <c r="N70" s="873">
        <v>44784</v>
      </c>
      <c r="O70" s="873">
        <v>45514</v>
      </c>
      <c r="P70" s="873">
        <v>46244</v>
      </c>
      <c r="Q70" s="873" t="s">
        <v>624</v>
      </c>
      <c r="R70" s="1105"/>
      <c r="S70" s="1105"/>
      <c r="T70" s="873">
        <v>44467</v>
      </c>
      <c r="U70" s="873">
        <v>45927</v>
      </c>
      <c r="V70" s="873">
        <v>46292</v>
      </c>
      <c r="W70" s="873"/>
      <c r="X70" s="1063"/>
      <c r="Y70" s="1059"/>
      <c r="Z70" s="1033">
        <v>46062</v>
      </c>
      <c r="AA70" s="1046"/>
      <c r="AB70" s="879"/>
      <c r="AC70" s="882"/>
      <c r="AD70" s="64"/>
      <c r="AE70" s="82"/>
      <c r="AF70" s="65"/>
      <c r="AG70" s="23"/>
      <c r="AH70" s="442"/>
      <c r="AI70" s="443"/>
      <c r="AJ70" s="441"/>
      <c r="AK70" s="443"/>
      <c r="AL70" s="444"/>
      <c r="AM70" s="58"/>
    </row>
    <row r="71" spans="1:39" s="10" customFormat="1" ht="17.100000000000001" customHeight="1" x14ac:dyDescent="0.3">
      <c r="A71" s="1083"/>
      <c r="B71" s="955"/>
      <c r="C71" s="889"/>
      <c r="D71" s="955"/>
      <c r="E71" s="507" t="s">
        <v>131</v>
      </c>
      <c r="F71" s="243" t="s">
        <v>620</v>
      </c>
      <c r="G71" s="498">
        <v>10</v>
      </c>
      <c r="H71" s="556">
        <v>46395</v>
      </c>
      <c r="I71" s="13">
        <v>0.99</v>
      </c>
      <c r="J71" s="966"/>
      <c r="K71" s="343"/>
      <c r="L71" s="761"/>
      <c r="M71" s="970"/>
      <c r="N71" s="921"/>
      <c r="O71" s="921"/>
      <c r="P71" s="921"/>
      <c r="Q71" s="921"/>
      <c r="R71" s="1105"/>
      <c r="S71" s="1105"/>
      <c r="T71" s="921"/>
      <c r="U71" s="921"/>
      <c r="V71" s="921"/>
      <c r="W71" s="921"/>
      <c r="X71" s="1063"/>
      <c r="Y71" s="1059"/>
      <c r="Z71" s="1033"/>
      <c r="AA71" s="1046"/>
      <c r="AB71" s="879"/>
      <c r="AC71" s="882"/>
      <c r="AD71" s="58"/>
      <c r="AE71" s="79"/>
      <c r="AF71" s="59"/>
      <c r="AG71" s="9"/>
      <c r="AH71" s="442"/>
      <c r="AI71" s="443"/>
      <c r="AJ71" s="441"/>
      <c r="AK71" s="443"/>
      <c r="AL71" s="444"/>
      <c r="AM71" s="58"/>
    </row>
    <row r="72" spans="1:39" s="10" customFormat="1" ht="17.100000000000001" customHeight="1" x14ac:dyDescent="0.3">
      <c r="A72" s="1083"/>
      <c r="B72" s="955"/>
      <c r="C72" s="889"/>
      <c r="D72" s="955"/>
      <c r="E72" s="33" t="s">
        <v>100</v>
      </c>
      <c r="F72" s="244">
        <v>0.2104</v>
      </c>
      <c r="G72" s="495">
        <v>10</v>
      </c>
      <c r="H72" s="183">
        <v>46395</v>
      </c>
      <c r="I72" s="184">
        <v>0.99</v>
      </c>
      <c r="J72" s="966"/>
      <c r="K72" s="343"/>
      <c r="L72" s="761"/>
      <c r="M72" s="970"/>
      <c r="N72" s="921"/>
      <c r="O72" s="921"/>
      <c r="P72" s="921"/>
      <c r="Q72" s="921"/>
      <c r="R72" s="1105"/>
      <c r="S72" s="1105"/>
      <c r="T72" s="921"/>
      <c r="U72" s="921"/>
      <c r="V72" s="921"/>
      <c r="W72" s="921"/>
      <c r="X72" s="1063"/>
      <c r="Y72" s="1059"/>
      <c r="Z72" s="1033">
        <v>46076</v>
      </c>
      <c r="AA72" s="1046"/>
      <c r="AB72" s="879"/>
      <c r="AC72" s="882"/>
      <c r="AD72" s="62"/>
      <c r="AE72" s="80"/>
      <c r="AF72" s="61"/>
      <c r="AG72" s="9"/>
      <c r="AH72" s="442"/>
      <c r="AI72" s="443"/>
      <c r="AJ72" s="441"/>
      <c r="AK72" s="443"/>
      <c r="AL72" s="444"/>
      <c r="AM72" s="58"/>
    </row>
    <row r="73" spans="1:39" s="10" customFormat="1" ht="17.100000000000001" customHeight="1" x14ac:dyDescent="0.3">
      <c r="A73" s="1084"/>
      <c r="B73" s="1085"/>
      <c r="C73" s="890"/>
      <c r="D73" s="1085"/>
      <c r="E73" s="24" t="s">
        <v>183</v>
      </c>
      <c r="F73" s="237"/>
      <c r="G73" s="499"/>
      <c r="H73" s="493"/>
      <c r="I73" s="490"/>
      <c r="J73" s="504"/>
      <c r="K73" s="344"/>
      <c r="L73" s="356"/>
      <c r="M73" s="969"/>
      <c r="N73" s="946"/>
      <c r="O73" s="946"/>
      <c r="P73" s="946"/>
      <c r="Q73" s="946"/>
      <c r="R73" s="1245"/>
      <c r="S73" s="1245"/>
      <c r="T73" s="946"/>
      <c r="U73" s="946"/>
      <c r="V73" s="946"/>
      <c r="W73" s="946"/>
      <c r="X73" s="1064"/>
      <c r="Y73" s="1060"/>
      <c r="Z73" s="1038"/>
      <c r="AA73" s="1047"/>
      <c r="AB73" s="880"/>
      <c r="AC73" s="883"/>
      <c r="AD73" s="60"/>
      <c r="AE73" s="80"/>
      <c r="AF73" s="61"/>
      <c r="AG73" s="9"/>
      <c r="AH73" s="501"/>
      <c r="AI73" s="503"/>
      <c r="AJ73" s="500"/>
      <c r="AK73" s="503"/>
      <c r="AL73" s="502"/>
      <c r="AM73" s="58"/>
    </row>
    <row r="74" spans="1:39" s="10" customFormat="1" ht="17.100000000000001" customHeight="1" x14ac:dyDescent="0.3">
      <c r="A74" s="1077">
        <v>46446</v>
      </c>
      <c r="B74" s="902" t="s">
        <v>26</v>
      </c>
      <c r="C74" s="902" t="s">
        <v>8</v>
      </c>
      <c r="D74" s="902">
        <v>1</v>
      </c>
      <c r="E74" s="35" t="s">
        <v>49</v>
      </c>
      <c r="F74" s="213" t="s">
        <v>1</v>
      </c>
      <c r="G74" s="156">
        <v>10</v>
      </c>
      <c r="H74" s="152">
        <v>45702</v>
      </c>
      <c r="I74" s="36">
        <v>1</v>
      </c>
      <c r="J74" s="902" t="s">
        <v>107</v>
      </c>
      <c r="K74" s="971"/>
      <c r="L74" s="974"/>
      <c r="M74" s="943" t="s">
        <v>408</v>
      </c>
      <c r="N74" s="871">
        <v>43728</v>
      </c>
      <c r="O74" s="871">
        <v>45920</v>
      </c>
      <c r="P74" s="871">
        <v>46285</v>
      </c>
      <c r="Q74" s="871"/>
      <c r="R74" s="888" t="s">
        <v>475</v>
      </c>
      <c r="S74" s="888" t="s">
        <v>502</v>
      </c>
      <c r="T74" s="921">
        <v>43749</v>
      </c>
      <c r="U74" s="921">
        <v>45940</v>
      </c>
      <c r="V74" s="921">
        <v>46305</v>
      </c>
      <c r="W74" s="921"/>
      <c r="X74" s="888" t="s">
        <v>503</v>
      </c>
      <c r="Y74" s="921"/>
      <c r="Z74" s="1037">
        <v>45915</v>
      </c>
      <c r="AA74" s="878" t="s">
        <v>364</v>
      </c>
      <c r="AB74" s="878" t="s">
        <v>366</v>
      </c>
      <c r="AC74" s="881">
        <v>1181819</v>
      </c>
      <c r="AD74" s="64"/>
      <c r="AE74" s="78"/>
      <c r="AF74" s="57">
        <v>44757</v>
      </c>
      <c r="AG74" s="9" t="s">
        <v>162</v>
      </c>
      <c r="AH74" s="928"/>
      <c r="AI74" s="915"/>
      <c r="AJ74" s="916"/>
      <c r="AK74" s="915"/>
      <c r="AL74" s="933" t="s">
        <v>169</v>
      </c>
      <c r="AM74" s="64"/>
    </row>
    <row r="75" spans="1:39" s="10" customFormat="1" ht="17.100000000000001" customHeight="1" x14ac:dyDescent="0.3">
      <c r="A75" s="1077"/>
      <c r="B75" s="902"/>
      <c r="C75" s="902"/>
      <c r="D75" s="902"/>
      <c r="E75" s="20" t="s">
        <v>100</v>
      </c>
      <c r="F75" s="233">
        <v>0.21060000000000001</v>
      </c>
      <c r="G75" s="146">
        <v>10</v>
      </c>
      <c r="H75" s="149">
        <v>45897</v>
      </c>
      <c r="I75" s="13">
        <v>0.8</v>
      </c>
      <c r="J75" s="902"/>
      <c r="K75" s="972"/>
      <c r="L75" s="975"/>
      <c r="M75" s="944"/>
      <c r="N75" s="872"/>
      <c r="O75" s="872"/>
      <c r="P75" s="872"/>
      <c r="Q75" s="872"/>
      <c r="R75" s="921"/>
      <c r="S75" s="921"/>
      <c r="T75" s="921"/>
      <c r="U75" s="921"/>
      <c r="V75" s="921"/>
      <c r="W75" s="921"/>
      <c r="X75" s="921"/>
      <c r="Y75" s="921"/>
      <c r="Z75" s="1033"/>
      <c r="AA75" s="879"/>
      <c r="AB75" s="879"/>
      <c r="AC75" s="882"/>
      <c r="AD75" s="58"/>
      <c r="AE75" s="79"/>
      <c r="AF75" s="59">
        <v>44757</v>
      </c>
      <c r="AG75" s="9"/>
      <c r="AH75" s="928"/>
      <c r="AI75" s="915"/>
      <c r="AJ75" s="917"/>
      <c r="AK75" s="915"/>
      <c r="AL75" s="933"/>
      <c r="AM75" s="58"/>
    </row>
    <row r="76" spans="1:39" s="10" customFormat="1" ht="17.100000000000001" customHeight="1" x14ac:dyDescent="0.3">
      <c r="A76" s="937"/>
      <c r="B76" s="927" t="s">
        <v>69</v>
      </c>
      <c r="C76" s="927" t="s">
        <v>70</v>
      </c>
      <c r="D76" s="927">
        <v>1</v>
      </c>
      <c r="E76" s="20" t="s">
        <v>101</v>
      </c>
      <c r="F76" s="243" t="s">
        <v>199</v>
      </c>
      <c r="G76" s="146">
        <v>10</v>
      </c>
      <c r="H76" s="149">
        <v>45777</v>
      </c>
      <c r="I76" s="13">
        <v>0.42</v>
      </c>
      <c r="J76" s="927" t="s">
        <v>15</v>
      </c>
      <c r="K76" s="972"/>
      <c r="L76" s="975"/>
      <c r="M76" s="944"/>
      <c r="N76" s="872"/>
      <c r="O76" s="872"/>
      <c r="P76" s="872"/>
      <c r="Q76" s="872"/>
      <c r="R76" s="921"/>
      <c r="S76" s="921"/>
      <c r="T76" s="889"/>
      <c r="U76" s="921"/>
      <c r="V76" s="921"/>
      <c r="W76" s="921"/>
      <c r="X76" s="921"/>
      <c r="Y76" s="889"/>
      <c r="Z76" s="1033"/>
      <c r="AA76" s="879"/>
      <c r="AB76" s="879"/>
      <c r="AC76" s="882"/>
      <c r="AD76" s="58"/>
      <c r="AE76" s="79"/>
      <c r="AF76" s="59">
        <v>44735</v>
      </c>
      <c r="AG76" s="9"/>
      <c r="AH76" s="928"/>
      <c r="AI76" s="915"/>
      <c r="AJ76" s="917"/>
      <c r="AK76" s="915"/>
      <c r="AL76" s="933"/>
      <c r="AM76" s="58"/>
    </row>
    <row r="77" spans="1:39" s="10" customFormat="1" ht="17.100000000000001" customHeight="1" x14ac:dyDescent="0.3">
      <c r="A77" s="939"/>
      <c r="B77" s="941" t="s">
        <v>26</v>
      </c>
      <c r="C77" s="941" t="s">
        <v>70</v>
      </c>
      <c r="D77" s="941">
        <v>1</v>
      </c>
      <c r="E77" s="25" t="s">
        <v>307</v>
      </c>
      <c r="F77" s="242" t="s">
        <v>198</v>
      </c>
      <c r="G77" s="147">
        <v>10</v>
      </c>
      <c r="H77" s="150">
        <v>45897</v>
      </c>
      <c r="I77" s="17">
        <v>0.23</v>
      </c>
      <c r="J77" s="941" t="s">
        <v>15</v>
      </c>
      <c r="K77" s="973"/>
      <c r="L77" s="976"/>
      <c r="M77" s="945"/>
      <c r="N77" s="316"/>
      <c r="O77" s="315">
        <v>45920</v>
      </c>
      <c r="P77" s="315">
        <v>46285</v>
      </c>
      <c r="Q77" s="295"/>
      <c r="R77" s="946"/>
      <c r="S77" s="946"/>
      <c r="T77" s="890"/>
      <c r="U77" s="946"/>
      <c r="V77" s="946"/>
      <c r="W77" s="946"/>
      <c r="X77" s="946"/>
      <c r="Y77" s="890"/>
      <c r="Z77" s="1038"/>
      <c r="AA77" s="880"/>
      <c r="AB77" s="880"/>
      <c r="AC77" s="883"/>
      <c r="AD77" s="60"/>
      <c r="AE77" s="80"/>
      <c r="AF77" s="61">
        <v>44757</v>
      </c>
      <c r="AG77" s="9"/>
      <c r="AH77" s="928"/>
      <c r="AI77" s="915"/>
      <c r="AJ77" s="918"/>
      <c r="AK77" s="915"/>
      <c r="AL77" s="933"/>
      <c r="AM77" s="60"/>
    </row>
    <row r="78" spans="1:39" s="10" customFormat="1" ht="17.100000000000001" customHeight="1" x14ac:dyDescent="0.3">
      <c r="A78" s="1077">
        <v>46446</v>
      </c>
      <c r="B78" s="902" t="s">
        <v>975</v>
      </c>
      <c r="C78" s="889" t="s">
        <v>124</v>
      </c>
      <c r="D78" s="926">
        <v>1</v>
      </c>
      <c r="E78" s="393" t="s">
        <v>113</v>
      </c>
      <c r="F78" s="226" t="s">
        <v>127</v>
      </c>
      <c r="G78" s="153">
        <v>10</v>
      </c>
      <c r="H78" s="27">
        <v>46240</v>
      </c>
      <c r="I78" s="28">
        <v>0.61</v>
      </c>
      <c r="J78" s="1146" t="s">
        <v>347</v>
      </c>
      <c r="K78" s="341"/>
      <c r="L78" s="641"/>
      <c r="M78" s="943" t="s">
        <v>408</v>
      </c>
      <c r="N78" s="954">
        <v>44363</v>
      </c>
      <c r="O78" s="954">
        <v>45823</v>
      </c>
      <c r="P78" s="954">
        <v>46188</v>
      </c>
      <c r="Q78" s="888" t="s">
        <v>770</v>
      </c>
      <c r="R78" s="1099" t="s">
        <v>755</v>
      </c>
      <c r="S78" s="959"/>
      <c r="T78" s="888">
        <v>44382</v>
      </c>
      <c r="U78" s="888">
        <v>45842</v>
      </c>
      <c r="V78" s="888">
        <v>46207</v>
      </c>
      <c r="W78" s="888" t="s">
        <v>289</v>
      </c>
      <c r="X78" s="888"/>
      <c r="Y78" s="888" t="s">
        <v>761</v>
      </c>
      <c r="Z78" s="897">
        <v>46073</v>
      </c>
      <c r="AA78" s="878" t="s">
        <v>367</v>
      </c>
      <c r="AB78" s="878" t="s">
        <v>365</v>
      </c>
      <c r="AC78" s="1020">
        <v>1500000</v>
      </c>
      <c r="AD78" s="64"/>
      <c r="AE78" s="78"/>
      <c r="AF78" s="57" t="s">
        <v>149</v>
      </c>
      <c r="AG78" s="9" t="s">
        <v>137</v>
      </c>
      <c r="AH78" s="928" t="s">
        <v>160</v>
      </c>
      <c r="AI78" s="915" t="s">
        <v>166</v>
      </c>
      <c r="AJ78" s="916" t="s">
        <v>160</v>
      </c>
      <c r="AK78" s="915"/>
      <c r="AL78" s="933"/>
      <c r="AM78" s="64"/>
    </row>
    <row r="79" spans="1:39" s="10" customFormat="1" ht="17.100000000000001" customHeight="1" x14ac:dyDescent="0.3">
      <c r="A79" s="937"/>
      <c r="B79" s="927"/>
      <c r="C79" s="889"/>
      <c r="D79" s="923"/>
      <c r="E79" s="199" t="s">
        <v>306</v>
      </c>
      <c r="F79" s="245" t="s">
        <v>200</v>
      </c>
      <c r="G79" s="200">
        <v>10</v>
      </c>
      <c r="H79" s="201">
        <v>46366</v>
      </c>
      <c r="I79" s="202">
        <v>0.95</v>
      </c>
      <c r="J79" s="995"/>
      <c r="K79" s="343"/>
      <c r="L79" s="746"/>
      <c r="M79" s="944"/>
      <c r="N79" s="927"/>
      <c r="O79" s="927"/>
      <c r="P79" s="927"/>
      <c r="Q79" s="921"/>
      <c r="R79" s="1066"/>
      <c r="S79" s="921"/>
      <c r="T79" s="902"/>
      <c r="U79" s="954"/>
      <c r="V79" s="954"/>
      <c r="W79" s="954"/>
      <c r="X79" s="954"/>
      <c r="Y79" s="921"/>
      <c r="Z79" s="876"/>
      <c r="AA79" s="879"/>
      <c r="AB79" s="879"/>
      <c r="AC79" s="882"/>
      <c r="AD79" s="58"/>
      <c r="AE79" s="79"/>
      <c r="AF79" s="59"/>
      <c r="AG79" s="69"/>
      <c r="AH79" s="928"/>
      <c r="AI79" s="915"/>
      <c r="AJ79" s="917"/>
      <c r="AK79" s="915"/>
      <c r="AL79" s="933"/>
      <c r="AM79" s="58"/>
    </row>
    <row r="80" spans="1:39" s="10" customFormat="1" ht="17.100000000000001" customHeight="1" x14ac:dyDescent="0.3">
      <c r="A80" s="937"/>
      <c r="B80" s="927"/>
      <c r="C80" s="889"/>
      <c r="D80" s="902">
        <v>2</v>
      </c>
      <c r="E80" s="394" t="s">
        <v>126</v>
      </c>
      <c r="F80" s="227" t="s">
        <v>128</v>
      </c>
      <c r="G80" s="159">
        <v>10</v>
      </c>
      <c r="H80" s="178">
        <v>46240</v>
      </c>
      <c r="I80" s="179">
        <v>0.79</v>
      </c>
      <c r="J80" s="995"/>
      <c r="K80" s="343"/>
      <c r="L80" s="642"/>
      <c r="M80" s="944"/>
      <c r="N80" s="927"/>
      <c r="O80" s="927"/>
      <c r="P80" s="927"/>
      <c r="Q80" s="921"/>
      <c r="R80" s="1066"/>
      <c r="S80" s="921"/>
      <c r="T80" s="873">
        <v>44365</v>
      </c>
      <c r="U80" s="873">
        <v>45825</v>
      </c>
      <c r="V80" s="873">
        <v>46190</v>
      </c>
      <c r="W80" s="873" t="s">
        <v>290</v>
      </c>
      <c r="X80" s="873"/>
      <c r="Y80" s="921"/>
      <c r="Z80" s="876"/>
      <c r="AA80" s="879"/>
      <c r="AB80" s="879"/>
      <c r="AC80" s="882"/>
      <c r="AD80" s="58"/>
      <c r="AE80" s="79"/>
      <c r="AF80" s="59" t="s">
        <v>149</v>
      </c>
      <c r="AG80" s="69"/>
      <c r="AH80" s="928"/>
      <c r="AI80" s="915"/>
      <c r="AJ80" s="917"/>
      <c r="AK80" s="915"/>
      <c r="AL80" s="933"/>
      <c r="AM80" s="58"/>
    </row>
    <row r="81" spans="1:39" s="10" customFormat="1" ht="17.100000000000001" customHeight="1" x14ac:dyDescent="0.3">
      <c r="A81" s="939"/>
      <c r="B81" s="941"/>
      <c r="C81" s="890"/>
      <c r="D81" s="941"/>
      <c r="E81" s="25" t="s">
        <v>647</v>
      </c>
      <c r="F81" s="242" t="s">
        <v>201</v>
      </c>
      <c r="G81" s="154">
        <v>10</v>
      </c>
      <c r="H81" s="31">
        <v>46240</v>
      </c>
      <c r="I81" s="32">
        <v>0.69</v>
      </c>
      <c r="J81" s="996"/>
      <c r="K81" s="344"/>
      <c r="L81" s="643"/>
      <c r="M81" s="945"/>
      <c r="N81" s="941"/>
      <c r="O81" s="941"/>
      <c r="P81" s="941"/>
      <c r="Q81" s="946"/>
      <c r="R81" s="1067"/>
      <c r="S81" s="946"/>
      <c r="T81" s="890"/>
      <c r="U81" s="946"/>
      <c r="V81" s="946"/>
      <c r="W81" s="946"/>
      <c r="X81" s="946"/>
      <c r="Y81" s="946"/>
      <c r="Z81" s="877"/>
      <c r="AA81" s="880"/>
      <c r="AB81" s="880"/>
      <c r="AC81" s="883"/>
      <c r="AD81" s="60"/>
      <c r="AE81" s="80"/>
      <c r="AF81" s="61"/>
      <c r="AG81" s="9"/>
      <c r="AH81" s="928"/>
      <c r="AI81" s="915"/>
      <c r="AJ81" s="918"/>
      <c r="AK81" s="915"/>
      <c r="AL81" s="933"/>
      <c r="AM81" s="60"/>
    </row>
    <row r="82" spans="1:39" s="10" customFormat="1" ht="17.100000000000001" customHeight="1" x14ac:dyDescent="0.3">
      <c r="A82" s="1139">
        <v>46387</v>
      </c>
      <c r="B82" s="981" t="s">
        <v>976</v>
      </c>
      <c r="C82" s="902" t="s">
        <v>59</v>
      </c>
      <c r="D82" s="902">
        <v>1</v>
      </c>
      <c r="E82" s="35" t="s">
        <v>2</v>
      </c>
      <c r="F82" s="389" t="s">
        <v>1</v>
      </c>
      <c r="G82" s="395">
        <v>10</v>
      </c>
      <c r="H82" s="152"/>
      <c r="I82" s="36">
        <v>0.24</v>
      </c>
      <c r="J82" s="1157" t="s">
        <v>347</v>
      </c>
      <c r="K82" s="342" t="s">
        <v>932</v>
      </c>
      <c r="L82" s="359">
        <v>46087</v>
      </c>
      <c r="M82" s="943" t="s">
        <v>408</v>
      </c>
      <c r="N82" s="300">
        <v>43606</v>
      </c>
      <c r="O82" s="300">
        <v>46041</v>
      </c>
      <c r="P82" s="300">
        <v>46406</v>
      </c>
      <c r="Q82" s="297" t="s">
        <v>325</v>
      </c>
      <c r="R82" s="1099" t="s">
        <v>523</v>
      </c>
      <c r="S82" s="981"/>
      <c r="T82" s="954">
        <v>43481</v>
      </c>
      <c r="U82" s="954">
        <v>46038</v>
      </c>
      <c r="V82" s="954">
        <v>46403</v>
      </c>
      <c r="W82" s="954" t="s">
        <v>293</v>
      </c>
      <c r="X82" s="959" t="s">
        <v>962</v>
      </c>
      <c r="Y82" s="954"/>
      <c r="Z82" s="354"/>
      <c r="AA82" s="1048" t="s">
        <v>359</v>
      </c>
      <c r="AB82" s="878" t="s">
        <v>362</v>
      </c>
      <c r="AC82" s="1020">
        <v>2600000</v>
      </c>
      <c r="AD82" s="64"/>
      <c r="AE82" s="78"/>
      <c r="AF82" s="57"/>
      <c r="AG82" s="9" t="s">
        <v>146</v>
      </c>
      <c r="AH82" s="928"/>
      <c r="AI82" s="915" t="s">
        <v>160</v>
      </c>
      <c r="AJ82" s="916" t="s">
        <v>167</v>
      </c>
      <c r="AK82" s="915"/>
      <c r="AL82" s="933"/>
      <c r="AM82" s="64"/>
    </row>
    <row r="83" spans="1:39" s="10" customFormat="1" ht="17.100000000000001" customHeight="1" x14ac:dyDescent="0.3">
      <c r="A83" s="937"/>
      <c r="B83" s="1149" t="s">
        <v>25</v>
      </c>
      <c r="C83" s="927" t="s">
        <v>8</v>
      </c>
      <c r="D83" s="927">
        <v>1</v>
      </c>
      <c r="E83" s="26" t="s">
        <v>903</v>
      </c>
      <c r="F83" s="243" t="s">
        <v>252</v>
      </c>
      <c r="G83" s="146">
        <v>10</v>
      </c>
      <c r="H83" s="149">
        <v>46275</v>
      </c>
      <c r="I83" s="13">
        <v>0.56000000000000005</v>
      </c>
      <c r="J83" s="1158" t="s">
        <v>91</v>
      </c>
      <c r="K83" s="343"/>
      <c r="L83" s="824"/>
      <c r="M83" s="944"/>
      <c r="N83" s="298">
        <v>43642</v>
      </c>
      <c r="O83" s="418">
        <v>46041</v>
      </c>
      <c r="P83" s="298">
        <v>46406</v>
      </c>
      <c r="Q83" s="298" t="s">
        <v>325</v>
      </c>
      <c r="R83" s="1066"/>
      <c r="S83" s="1149"/>
      <c r="T83" s="872"/>
      <c r="U83" s="872"/>
      <c r="V83" s="872"/>
      <c r="W83" s="872"/>
      <c r="X83" s="921"/>
      <c r="Y83" s="872"/>
      <c r="Z83" s="355"/>
      <c r="AA83" s="879"/>
      <c r="AB83" s="879"/>
      <c r="AC83" s="882"/>
      <c r="AD83" s="58"/>
      <c r="AE83" s="79"/>
      <c r="AF83" s="59"/>
      <c r="AG83" s="9"/>
      <c r="AH83" s="928"/>
      <c r="AI83" s="915"/>
      <c r="AJ83" s="917"/>
      <c r="AK83" s="915"/>
      <c r="AL83" s="933"/>
      <c r="AM83" s="58"/>
    </row>
    <row r="84" spans="1:39" s="10" customFormat="1" ht="17.100000000000001" customHeight="1" x14ac:dyDescent="0.3">
      <c r="A84" s="937"/>
      <c r="B84" s="1149" t="s">
        <v>25</v>
      </c>
      <c r="C84" s="927" t="s">
        <v>59</v>
      </c>
      <c r="D84" s="927">
        <v>1</v>
      </c>
      <c r="E84" s="20" t="s">
        <v>882</v>
      </c>
      <c r="F84" s="243" t="s">
        <v>202</v>
      </c>
      <c r="G84" s="624">
        <v>30</v>
      </c>
      <c r="H84" s="29">
        <v>46210</v>
      </c>
      <c r="I84" s="13">
        <v>1</v>
      </c>
      <c r="J84" s="1158" t="s">
        <v>91</v>
      </c>
      <c r="K84" s="343"/>
      <c r="L84" s="763"/>
      <c r="M84" s="944"/>
      <c r="N84" s="873">
        <v>43606</v>
      </c>
      <c r="O84" s="873">
        <v>46041</v>
      </c>
      <c r="P84" s="873">
        <v>46406</v>
      </c>
      <c r="Q84" s="921" t="s">
        <v>325</v>
      </c>
      <c r="R84" s="1066"/>
      <c r="S84" s="1149"/>
      <c r="T84" s="872"/>
      <c r="U84" s="872"/>
      <c r="V84" s="872"/>
      <c r="W84" s="872"/>
      <c r="X84" s="921"/>
      <c r="Y84" s="872"/>
      <c r="Z84" s="355"/>
      <c r="AA84" s="879"/>
      <c r="AB84" s="879"/>
      <c r="AC84" s="882"/>
      <c r="AD84" s="58"/>
      <c r="AE84" s="79"/>
      <c r="AF84" s="59"/>
      <c r="AG84" s="9"/>
      <c r="AH84" s="928"/>
      <c r="AI84" s="915"/>
      <c r="AJ84" s="917"/>
      <c r="AK84" s="915"/>
      <c r="AL84" s="933"/>
      <c r="AM84" s="58"/>
    </row>
    <row r="85" spans="1:39" s="10" customFormat="1" ht="17.25" customHeight="1" x14ac:dyDescent="0.3">
      <c r="A85" s="938"/>
      <c r="B85" s="1150"/>
      <c r="C85" s="940"/>
      <c r="D85" s="940"/>
      <c r="E85" s="33" t="s">
        <v>100</v>
      </c>
      <c r="F85" s="244">
        <v>0.21840000000000001</v>
      </c>
      <c r="G85" s="305">
        <v>10</v>
      </c>
      <c r="H85" s="301">
        <v>46345</v>
      </c>
      <c r="I85" s="34">
        <v>0.67</v>
      </c>
      <c r="J85" s="1159"/>
      <c r="K85" s="343"/>
      <c r="L85" s="719"/>
      <c r="M85" s="944"/>
      <c r="N85" s="921"/>
      <c r="O85" s="921"/>
      <c r="P85" s="921"/>
      <c r="Q85" s="921"/>
      <c r="R85" s="1066"/>
      <c r="S85" s="1150"/>
      <c r="T85" s="873"/>
      <c r="U85" s="873"/>
      <c r="V85" s="873"/>
      <c r="W85" s="873"/>
      <c r="X85" s="921"/>
      <c r="Y85" s="873"/>
      <c r="Z85" s="355">
        <v>46079</v>
      </c>
      <c r="AA85" s="879"/>
      <c r="AB85" s="879"/>
      <c r="AC85" s="882"/>
      <c r="AD85" s="58"/>
      <c r="AE85" s="80"/>
      <c r="AF85" s="61"/>
      <c r="AG85" s="9"/>
      <c r="AH85" s="928"/>
      <c r="AI85" s="915"/>
      <c r="AJ85" s="917"/>
      <c r="AK85" s="915"/>
      <c r="AL85" s="933"/>
      <c r="AM85" s="58"/>
    </row>
    <row r="86" spans="1:39" s="10" customFormat="1" ht="17.25" customHeight="1" x14ac:dyDescent="0.3">
      <c r="A86" s="939"/>
      <c r="B86" s="1151" t="s">
        <v>25</v>
      </c>
      <c r="C86" s="941" t="s">
        <v>8</v>
      </c>
      <c r="D86" s="941">
        <v>1</v>
      </c>
      <c r="E86" s="24" t="s">
        <v>292</v>
      </c>
      <c r="F86" s="237"/>
      <c r="G86" s="303"/>
      <c r="H86" s="299"/>
      <c r="I86" s="17" t="s">
        <v>843</v>
      </c>
      <c r="J86" s="1160" t="s">
        <v>9</v>
      </c>
      <c r="K86" s="347"/>
      <c r="L86" s="358"/>
      <c r="M86" s="945"/>
      <c r="N86" s="946"/>
      <c r="O86" s="946"/>
      <c r="P86" s="946"/>
      <c r="Q86" s="946"/>
      <c r="R86" s="1067"/>
      <c r="S86" s="1151"/>
      <c r="T86" s="874"/>
      <c r="U86" s="874"/>
      <c r="V86" s="874"/>
      <c r="W86" s="874"/>
      <c r="X86" s="946"/>
      <c r="Y86" s="874"/>
      <c r="Z86" s="550"/>
      <c r="AA86" s="880"/>
      <c r="AB86" s="880"/>
      <c r="AC86" s="883"/>
      <c r="AD86" s="131"/>
      <c r="AE86" s="80"/>
      <c r="AF86" s="61"/>
      <c r="AG86" s="9"/>
      <c r="AH86" s="928"/>
      <c r="AI86" s="915"/>
      <c r="AJ86" s="918"/>
      <c r="AK86" s="915"/>
      <c r="AL86" s="933"/>
      <c r="AM86" s="131"/>
    </row>
    <row r="87" spans="1:39" s="10" customFormat="1" ht="17.100000000000001" customHeight="1" x14ac:dyDescent="0.3">
      <c r="A87" s="1082">
        <v>46173</v>
      </c>
      <c r="B87" s="913" t="s">
        <v>1028</v>
      </c>
      <c r="C87" s="891" t="s">
        <v>8</v>
      </c>
      <c r="D87" s="902">
        <v>1</v>
      </c>
      <c r="E87" s="35" t="s">
        <v>49</v>
      </c>
      <c r="F87" s="389" t="s">
        <v>1</v>
      </c>
      <c r="G87" s="156">
        <v>10</v>
      </c>
      <c r="H87" s="152">
        <v>46212</v>
      </c>
      <c r="I87" s="36">
        <v>0.88</v>
      </c>
      <c r="J87" s="952" t="s">
        <v>347</v>
      </c>
      <c r="K87" s="341"/>
      <c r="L87" s="625"/>
      <c r="M87" s="968" t="s">
        <v>407</v>
      </c>
      <c r="N87" s="954">
        <v>44216</v>
      </c>
      <c r="O87" s="954">
        <v>46041</v>
      </c>
      <c r="P87" s="954">
        <v>46406</v>
      </c>
      <c r="Q87" s="888"/>
      <c r="R87" s="891"/>
      <c r="S87" s="913"/>
      <c r="T87" s="954">
        <v>44011</v>
      </c>
      <c r="U87" s="954">
        <v>45836</v>
      </c>
      <c r="V87" s="954">
        <v>46201</v>
      </c>
      <c r="W87" s="954" t="s">
        <v>291</v>
      </c>
      <c r="X87" s="1239" t="s">
        <v>872</v>
      </c>
      <c r="Y87" s="1042"/>
      <c r="Z87" s="897">
        <v>46059</v>
      </c>
      <c r="AA87" s="1048" t="s">
        <v>609</v>
      </c>
      <c r="AB87" s="878" t="s">
        <v>606</v>
      </c>
      <c r="AC87" s="1020">
        <v>1800000</v>
      </c>
      <c r="AD87" s="64"/>
      <c r="AE87" s="78"/>
      <c r="AF87" s="57"/>
      <c r="AG87" s="9" t="s">
        <v>143</v>
      </c>
      <c r="AH87" s="1019" t="s">
        <v>160</v>
      </c>
      <c r="AI87" s="1027"/>
      <c r="AJ87" s="999" t="s">
        <v>160</v>
      </c>
      <c r="AK87" s="1027"/>
      <c r="AL87" s="1016"/>
      <c r="AM87" s="64"/>
    </row>
    <row r="88" spans="1:39" s="10" customFormat="1" ht="16.5" customHeight="1" x14ac:dyDescent="0.3">
      <c r="A88" s="1083"/>
      <c r="B88" s="955"/>
      <c r="C88" s="889"/>
      <c r="D88" s="927">
        <v>1</v>
      </c>
      <c r="E88" s="20" t="s">
        <v>102</v>
      </c>
      <c r="F88" s="243" t="s">
        <v>203</v>
      </c>
      <c r="G88" s="146">
        <v>10</v>
      </c>
      <c r="H88" s="149">
        <v>46212</v>
      </c>
      <c r="I88" s="13">
        <v>0.76</v>
      </c>
      <c r="J88" s="966"/>
      <c r="K88" s="343"/>
      <c r="L88" s="627"/>
      <c r="M88" s="970"/>
      <c r="N88" s="872" t="s">
        <v>14</v>
      </c>
      <c r="O88" s="872">
        <v>2023.01</v>
      </c>
      <c r="P88" s="872"/>
      <c r="Q88" s="921"/>
      <c r="R88" s="889"/>
      <c r="S88" s="955"/>
      <c r="T88" s="872"/>
      <c r="U88" s="872"/>
      <c r="V88" s="872"/>
      <c r="W88" s="872"/>
      <c r="X88" s="1240"/>
      <c r="Y88" s="872"/>
      <c r="Z88" s="876"/>
      <c r="AA88" s="879"/>
      <c r="AB88" s="879"/>
      <c r="AC88" s="1035"/>
      <c r="AD88" s="1031" t="s">
        <v>904</v>
      </c>
      <c r="AE88" s="79"/>
      <c r="AF88" s="59"/>
      <c r="AG88" s="9"/>
      <c r="AH88" s="1019"/>
      <c r="AI88" s="1027"/>
      <c r="AJ88" s="1000"/>
      <c r="AK88" s="1027"/>
      <c r="AL88" s="1016"/>
      <c r="AM88" s="58"/>
    </row>
    <row r="89" spans="1:39" s="10" customFormat="1" ht="16.5" customHeight="1" x14ac:dyDescent="0.3">
      <c r="A89" s="1083"/>
      <c r="B89" s="955"/>
      <c r="C89" s="889"/>
      <c r="D89" s="927">
        <v>1</v>
      </c>
      <c r="E89" s="11" t="s">
        <v>51</v>
      </c>
      <c r="F89" s="233">
        <v>2.0199999999999999E-2</v>
      </c>
      <c r="G89" s="146">
        <v>10</v>
      </c>
      <c r="H89" s="149">
        <v>46212</v>
      </c>
      <c r="I89" s="13">
        <v>0.62</v>
      </c>
      <c r="J89" s="966"/>
      <c r="K89" s="343"/>
      <c r="L89" s="627"/>
      <c r="M89" s="970"/>
      <c r="N89" s="872" t="s">
        <v>14</v>
      </c>
      <c r="O89" s="872">
        <v>2023.01</v>
      </c>
      <c r="P89" s="872"/>
      <c r="Q89" s="921"/>
      <c r="R89" s="889"/>
      <c r="S89" s="955"/>
      <c r="T89" s="872"/>
      <c r="U89" s="872"/>
      <c r="V89" s="872"/>
      <c r="W89" s="872"/>
      <c r="X89" s="1240"/>
      <c r="Y89" s="872"/>
      <c r="Z89" s="876"/>
      <c r="AA89" s="879"/>
      <c r="AB89" s="879"/>
      <c r="AC89" s="1035"/>
      <c r="AD89" s="1032"/>
      <c r="AE89" s="79"/>
      <c r="AF89" s="59"/>
      <c r="AG89" s="9"/>
      <c r="AH89" s="1019"/>
      <c r="AI89" s="1027"/>
      <c r="AJ89" s="1000"/>
      <c r="AK89" s="1027"/>
      <c r="AL89" s="1016"/>
      <c r="AM89" s="58"/>
    </row>
    <row r="90" spans="1:39" s="10" customFormat="1" ht="16.5" customHeight="1" x14ac:dyDescent="0.3">
      <c r="A90" s="1083"/>
      <c r="B90" s="955"/>
      <c r="C90" s="889"/>
      <c r="D90" s="940">
        <v>1</v>
      </c>
      <c r="E90" s="33" t="s">
        <v>100</v>
      </c>
      <c r="F90" s="244">
        <v>0.2074</v>
      </c>
      <c r="G90" s="466">
        <v>10</v>
      </c>
      <c r="H90" s="465">
        <v>46212</v>
      </c>
      <c r="I90" s="34">
        <v>0.8</v>
      </c>
      <c r="J90" s="966"/>
      <c r="K90" s="346"/>
      <c r="L90" s="626"/>
      <c r="M90" s="970"/>
      <c r="N90" s="873" t="s">
        <v>14</v>
      </c>
      <c r="O90" s="873">
        <v>2023.01</v>
      </c>
      <c r="P90" s="873"/>
      <c r="Q90" s="921"/>
      <c r="R90" s="889"/>
      <c r="S90" s="955"/>
      <c r="T90" s="873"/>
      <c r="U90" s="873"/>
      <c r="V90" s="873"/>
      <c r="W90" s="873"/>
      <c r="X90" s="1240"/>
      <c r="Y90" s="873"/>
      <c r="Z90" s="876"/>
      <c r="AA90" s="879"/>
      <c r="AB90" s="879"/>
      <c r="AC90" s="1035"/>
      <c r="AD90" s="58"/>
      <c r="AE90" s="80"/>
      <c r="AF90" s="61"/>
      <c r="AG90" s="9"/>
      <c r="AH90" s="1019"/>
      <c r="AI90" s="1027"/>
      <c r="AJ90" s="1001"/>
      <c r="AK90" s="1027"/>
      <c r="AL90" s="1016"/>
      <c r="AM90" s="60"/>
    </row>
    <row r="91" spans="1:39" s="10" customFormat="1" ht="17.100000000000001" customHeight="1" x14ac:dyDescent="0.3">
      <c r="A91" s="1083"/>
      <c r="B91" s="955"/>
      <c r="C91" s="889"/>
      <c r="D91" s="980" t="s">
        <v>630</v>
      </c>
      <c r="E91" s="195" t="s">
        <v>49</v>
      </c>
      <c r="F91" s="388" t="s">
        <v>1</v>
      </c>
      <c r="G91" s="515">
        <v>10</v>
      </c>
      <c r="H91" s="293">
        <v>46395</v>
      </c>
      <c r="I91" s="198">
        <v>0.95</v>
      </c>
      <c r="J91" s="966"/>
      <c r="K91" s="799"/>
      <c r="L91" s="800"/>
      <c r="M91" s="970"/>
      <c r="N91" s="1061">
        <v>45442</v>
      </c>
      <c r="O91" s="1061">
        <v>46043</v>
      </c>
      <c r="P91" s="1061">
        <v>46772</v>
      </c>
      <c r="Q91" s="1112" t="s">
        <v>324</v>
      </c>
      <c r="R91" s="889"/>
      <c r="S91" s="955"/>
      <c r="T91" s="1061">
        <v>45362</v>
      </c>
      <c r="U91" s="1061"/>
      <c r="V91" s="1061">
        <v>46091</v>
      </c>
      <c r="W91" s="1061" t="s">
        <v>607</v>
      </c>
      <c r="X91" s="1240"/>
      <c r="Y91" s="1061"/>
      <c r="Z91" s="1051">
        <v>46079</v>
      </c>
      <c r="AA91" s="879"/>
      <c r="AB91" s="879"/>
      <c r="AC91" s="1035"/>
      <c r="AD91" s="58"/>
      <c r="AE91" s="78"/>
      <c r="AF91" s="57"/>
      <c r="AG91" s="9"/>
      <c r="AH91" s="1019" t="s">
        <v>160</v>
      </c>
      <c r="AI91" s="1027"/>
      <c r="AJ91" s="999" t="s">
        <v>160</v>
      </c>
      <c r="AK91" s="1027"/>
      <c r="AL91" s="1016"/>
      <c r="AM91" s="64"/>
    </row>
    <row r="92" spans="1:39" s="10" customFormat="1" ht="17.100000000000001" customHeight="1" x14ac:dyDescent="0.3">
      <c r="A92" s="1083"/>
      <c r="B92" s="955"/>
      <c r="C92" s="889"/>
      <c r="D92" s="927">
        <v>1</v>
      </c>
      <c r="E92" s="20" t="s">
        <v>102</v>
      </c>
      <c r="F92" s="243" t="s">
        <v>608</v>
      </c>
      <c r="G92" s="514">
        <v>10</v>
      </c>
      <c r="H92" s="512">
        <v>46395</v>
      </c>
      <c r="I92" s="13">
        <v>0.95</v>
      </c>
      <c r="J92" s="966"/>
      <c r="K92" s="801"/>
      <c r="L92" s="802"/>
      <c r="M92" s="970"/>
      <c r="N92" s="872"/>
      <c r="O92" s="872"/>
      <c r="P92" s="872"/>
      <c r="Q92" s="921"/>
      <c r="R92" s="889"/>
      <c r="S92" s="955"/>
      <c r="T92" s="872"/>
      <c r="U92" s="872"/>
      <c r="V92" s="872"/>
      <c r="W92" s="872"/>
      <c r="X92" s="1240"/>
      <c r="Y92" s="872"/>
      <c r="Z92" s="876"/>
      <c r="AA92" s="879"/>
      <c r="AB92" s="879"/>
      <c r="AC92" s="1035"/>
      <c r="AD92" s="58"/>
      <c r="AE92" s="79"/>
      <c r="AF92" s="59"/>
      <c r="AG92" s="9"/>
      <c r="AH92" s="1019"/>
      <c r="AI92" s="1027"/>
      <c r="AJ92" s="1000"/>
      <c r="AK92" s="1027"/>
      <c r="AL92" s="1016"/>
      <c r="AM92" s="58"/>
    </row>
    <row r="93" spans="1:39" s="10" customFormat="1" ht="16.5" customHeight="1" x14ac:dyDescent="0.3">
      <c r="A93" s="1083"/>
      <c r="B93" s="955"/>
      <c r="C93" s="889"/>
      <c r="D93" s="927">
        <v>1</v>
      </c>
      <c r="E93" s="11" t="s">
        <v>51</v>
      </c>
      <c r="F93" s="233">
        <v>2.0199999999999999E-2</v>
      </c>
      <c r="G93" s="514">
        <v>10</v>
      </c>
      <c r="H93" s="512">
        <v>46394</v>
      </c>
      <c r="I93" s="13">
        <v>0.89</v>
      </c>
      <c r="J93" s="966"/>
      <c r="K93" s="801"/>
      <c r="L93" s="802"/>
      <c r="M93" s="970"/>
      <c r="N93" s="872"/>
      <c r="O93" s="872"/>
      <c r="P93" s="872"/>
      <c r="Q93" s="921"/>
      <c r="R93" s="889"/>
      <c r="S93" s="955"/>
      <c r="T93" s="872"/>
      <c r="U93" s="872"/>
      <c r="V93" s="872"/>
      <c r="W93" s="872"/>
      <c r="X93" s="1240"/>
      <c r="Y93" s="872"/>
      <c r="Z93" s="876"/>
      <c r="AA93" s="879"/>
      <c r="AB93" s="879"/>
      <c r="AC93" s="1035"/>
      <c r="AD93" s="58"/>
      <c r="AE93" s="79"/>
      <c r="AF93" s="59"/>
      <c r="AG93" s="9"/>
      <c r="AH93" s="1019"/>
      <c r="AI93" s="1027"/>
      <c r="AJ93" s="1000"/>
      <c r="AK93" s="1027"/>
      <c r="AL93" s="1016"/>
      <c r="AM93" s="58"/>
    </row>
    <row r="94" spans="1:39" s="10" customFormat="1" ht="16.5" customHeight="1" x14ac:dyDescent="0.3">
      <c r="A94" s="1084"/>
      <c r="B94" s="1085"/>
      <c r="C94" s="890"/>
      <c r="D94" s="941">
        <v>1</v>
      </c>
      <c r="E94" s="24" t="s">
        <v>100</v>
      </c>
      <c r="F94" s="237">
        <v>0.2107</v>
      </c>
      <c r="G94" s="511">
        <v>10</v>
      </c>
      <c r="H94" s="513">
        <v>46395</v>
      </c>
      <c r="I94" s="17">
        <v>0.89</v>
      </c>
      <c r="J94" s="953"/>
      <c r="K94" s="803"/>
      <c r="L94" s="804"/>
      <c r="M94" s="969"/>
      <c r="N94" s="874"/>
      <c r="O94" s="874"/>
      <c r="P94" s="874"/>
      <c r="Q94" s="946"/>
      <c r="R94" s="890"/>
      <c r="S94" s="1085"/>
      <c r="T94" s="874"/>
      <c r="U94" s="874"/>
      <c r="V94" s="874"/>
      <c r="W94" s="874"/>
      <c r="X94" s="1104"/>
      <c r="Y94" s="874"/>
      <c r="Z94" s="877"/>
      <c r="AA94" s="880"/>
      <c r="AB94" s="880"/>
      <c r="AC94" s="1036"/>
      <c r="AD94" s="60"/>
      <c r="AE94" s="80"/>
      <c r="AF94" s="61"/>
      <c r="AG94" s="9"/>
      <c r="AH94" s="1019"/>
      <c r="AI94" s="1027"/>
      <c r="AJ94" s="1001"/>
      <c r="AK94" s="1027"/>
      <c r="AL94" s="1016"/>
      <c r="AM94" s="60"/>
    </row>
    <row r="95" spans="1:39" s="10" customFormat="1" ht="16.5" customHeight="1" x14ac:dyDescent="0.3">
      <c r="A95" s="1083">
        <v>46326</v>
      </c>
      <c r="B95" s="955" t="s">
        <v>977</v>
      </c>
      <c r="C95" s="902" t="s">
        <v>8</v>
      </c>
      <c r="D95" s="902">
        <v>1</v>
      </c>
      <c r="E95" s="35" t="s">
        <v>642</v>
      </c>
      <c r="F95" s="221" t="s">
        <v>1</v>
      </c>
      <c r="G95" s="156">
        <v>10</v>
      </c>
      <c r="H95" s="152">
        <v>46240</v>
      </c>
      <c r="I95" s="36">
        <v>1</v>
      </c>
      <c r="J95" s="966" t="s">
        <v>347</v>
      </c>
      <c r="K95" s="341"/>
      <c r="L95" s="672"/>
      <c r="M95" s="968" t="s">
        <v>407</v>
      </c>
      <c r="N95" s="921">
        <v>44392</v>
      </c>
      <c r="O95" s="921">
        <v>45852</v>
      </c>
      <c r="P95" s="921">
        <v>46217</v>
      </c>
      <c r="Q95" s="888" t="s">
        <v>805</v>
      </c>
      <c r="R95" s="955"/>
      <c r="S95" s="955"/>
      <c r="T95" s="921">
        <v>44363</v>
      </c>
      <c r="U95" s="921">
        <v>45823</v>
      </c>
      <c r="V95" s="921">
        <v>46188</v>
      </c>
      <c r="W95" s="921" t="s">
        <v>291</v>
      </c>
      <c r="X95" s="889"/>
      <c r="Y95" s="1059"/>
      <c r="Z95" s="897">
        <v>46072</v>
      </c>
      <c r="AA95" s="878" t="s">
        <v>385</v>
      </c>
      <c r="AB95" s="878" t="s">
        <v>386</v>
      </c>
      <c r="AC95" s="881">
        <v>1100000</v>
      </c>
      <c r="AD95" s="64"/>
      <c r="AE95" s="78"/>
      <c r="AF95" s="57"/>
      <c r="AG95" s="9" t="s">
        <v>136</v>
      </c>
      <c r="AH95" s="1019" t="s">
        <v>160</v>
      </c>
      <c r="AI95" s="1027" t="s">
        <v>166</v>
      </c>
      <c r="AJ95" s="999" t="s">
        <v>160</v>
      </c>
      <c r="AK95" s="1027"/>
      <c r="AL95" s="1016"/>
      <c r="AM95" s="64"/>
    </row>
    <row r="96" spans="1:39" s="10" customFormat="1" ht="16.5" customHeight="1" x14ac:dyDescent="0.3">
      <c r="A96" s="1083"/>
      <c r="B96" s="955"/>
      <c r="C96" s="927" t="s">
        <v>39</v>
      </c>
      <c r="D96" s="927"/>
      <c r="E96" s="20" t="s">
        <v>643</v>
      </c>
      <c r="F96" s="243" t="s">
        <v>204</v>
      </c>
      <c r="G96" s="146">
        <v>10</v>
      </c>
      <c r="H96" s="149">
        <v>46240</v>
      </c>
      <c r="I96" s="13">
        <v>0.91</v>
      </c>
      <c r="J96" s="889"/>
      <c r="K96" s="343"/>
      <c r="L96" s="674"/>
      <c r="M96" s="970"/>
      <c r="N96" s="921"/>
      <c r="O96" s="921"/>
      <c r="P96" s="921"/>
      <c r="Q96" s="921"/>
      <c r="R96" s="889"/>
      <c r="S96" s="889"/>
      <c r="T96" s="921"/>
      <c r="U96" s="921"/>
      <c r="V96" s="921"/>
      <c r="W96" s="921"/>
      <c r="X96" s="889"/>
      <c r="Y96" s="921"/>
      <c r="Z96" s="876"/>
      <c r="AA96" s="879"/>
      <c r="AB96" s="879"/>
      <c r="AC96" s="882"/>
      <c r="AD96" s="58"/>
      <c r="AE96" s="79"/>
      <c r="AF96" s="59"/>
      <c r="AG96" s="9"/>
      <c r="AH96" s="1019"/>
      <c r="AI96" s="1027"/>
      <c r="AJ96" s="1000"/>
      <c r="AK96" s="1027"/>
      <c r="AL96" s="1016"/>
      <c r="AM96" s="58"/>
    </row>
    <row r="97" spans="1:39" s="10" customFormat="1" ht="16.5" customHeight="1" x14ac:dyDescent="0.3">
      <c r="A97" s="1083"/>
      <c r="B97" s="955"/>
      <c r="C97" s="927" t="s">
        <v>8</v>
      </c>
      <c r="D97" s="927"/>
      <c r="E97" s="54" t="s">
        <v>51</v>
      </c>
      <c r="F97" s="233">
        <v>1.9699999999999999E-2</v>
      </c>
      <c r="G97" s="143">
        <v>10</v>
      </c>
      <c r="H97" s="149">
        <v>46289</v>
      </c>
      <c r="I97" s="55">
        <v>0.96</v>
      </c>
      <c r="J97" s="889"/>
      <c r="K97" s="343"/>
      <c r="L97" s="680"/>
      <c r="M97" s="970"/>
      <c r="N97" s="921"/>
      <c r="O97" s="921"/>
      <c r="P97" s="921"/>
      <c r="Q97" s="921"/>
      <c r="R97" s="889"/>
      <c r="S97" s="889"/>
      <c r="T97" s="921"/>
      <c r="U97" s="921"/>
      <c r="V97" s="921"/>
      <c r="W97" s="921"/>
      <c r="X97" s="889"/>
      <c r="Y97" s="921"/>
      <c r="Z97" s="876"/>
      <c r="AA97" s="879"/>
      <c r="AB97" s="879"/>
      <c r="AC97" s="882"/>
      <c r="AD97" s="58"/>
      <c r="AE97" s="79"/>
      <c r="AF97" s="59"/>
      <c r="AG97" s="9"/>
      <c r="AH97" s="1019"/>
      <c r="AI97" s="1027"/>
      <c r="AJ97" s="1000"/>
      <c r="AK97" s="1027"/>
      <c r="AL97" s="1016"/>
      <c r="AM97" s="58"/>
    </row>
    <row r="98" spans="1:39" s="10" customFormat="1" ht="16.5" customHeight="1" x14ac:dyDescent="0.3">
      <c r="A98" s="1084"/>
      <c r="B98" s="1085"/>
      <c r="C98" s="941" t="s">
        <v>8</v>
      </c>
      <c r="D98" s="941"/>
      <c r="E98" s="24" t="s">
        <v>100</v>
      </c>
      <c r="F98" s="237">
        <v>0.21010000000000001</v>
      </c>
      <c r="G98" s="147">
        <v>10</v>
      </c>
      <c r="H98" s="150">
        <v>46289</v>
      </c>
      <c r="I98" s="17">
        <v>0.94</v>
      </c>
      <c r="J98" s="890"/>
      <c r="K98" s="344"/>
      <c r="L98" s="681"/>
      <c r="M98" s="969"/>
      <c r="N98" s="946"/>
      <c r="O98" s="946"/>
      <c r="P98" s="946"/>
      <c r="Q98" s="946"/>
      <c r="R98" s="890"/>
      <c r="S98" s="890"/>
      <c r="T98" s="946"/>
      <c r="U98" s="946"/>
      <c r="V98" s="946"/>
      <c r="W98" s="946"/>
      <c r="X98" s="890"/>
      <c r="Y98" s="946"/>
      <c r="Z98" s="877"/>
      <c r="AA98" s="880"/>
      <c r="AB98" s="880"/>
      <c r="AC98" s="883"/>
      <c r="AD98" s="60"/>
      <c r="AE98" s="81"/>
      <c r="AF98" s="59"/>
      <c r="AG98" s="9"/>
      <c r="AH98" s="1019"/>
      <c r="AI98" s="1027"/>
      <c r="AJ98" s="1001"/>
      <c r="AK98" s="1027"/>
      <c r="AL98" s="1016"/>
      <c r="AM98" s="60"/>
    </row>
    <row r="99" spans="1:39" ht="15.75" customHeight="1" x14ac:dyDescent="0.3">
      <c r="A99" s="1077">
        <v>46265</v>
      </c>
      <c r="B99" s="902" t="s">
        <v>19</v>
      </c>
      <c r="C99" s="902" t="s">
        <v>8</v>
      </c>
      <c r="D99" s="902">
        <v>1</v>
      </c>
      <c r="E99" s="35" t="s">
        <v>2</v>
      </c>
      <c r="F99" s="389" t="s">
        <v>205</v>
      </c>
      <c r="G99" s="156">
        <v>10</v>
      </c>
      <c r="H99" s="152">
        <v>46407</v>
      </c>
      <c r="I99" s="36">
        <v>1</v>
      </c>
      <c r="J99" s="1074" t="s">
        <v>347</v>
      </c>
      <c r="K99" s="341"/>
      <c r="L99" s="792"/>
      <c r="M99" s="943" t="s">
        <v>414</v>
      </c>
      <c r="N99" s="954">
        <v>44412</v>
      </c>
      <c r="O99" s="954">
        <v>45872</v>
      </c>
      <c r="P99" s="954">
        <v>46237</v>
      </c>
      <c r="Q99" s="888" t="s">
        <v>290</v>
      </c>
      <c r="R99" s="889" t="s">
        <v>465</v>
      </c>
      <c r="S99" s="902" t="s">
        <v>464</v>
      </c>
      <c r="T99" s="954">
        <v>44425</v>
      </c>
      <c r="U99" s="954">
        <v>45875</v>
      </c>
      <c r="V99" s="954">
        <v>46250</v>
      </c>
      <c r="W99" s="954" t="s">
        <v>796</v>
      </c>
      <c r="X99" s="362"/>
      <c r="Y99" s="954" t="s">
        <v>792</v>
      </c>
      <c r="Z99" s="875">
        <v>46062</v>
      </c>
      <c r="AA99" s="1048" t="s">
        <v>387</v>
      </c>
      <c r="AB99" s="1048" t="s">
        <v>389</v>
      </c>
      <c r="AC99" s="1020">
        <v>1000000</v>
      </c>
      <c r="AD99" s="64"/>
      <c r="AE99" s="78"/>
      <c r="AF99" s="57"/>
      <c r="AG99" s="38" t="s">
        <v>136</v>
      </c>
      <c r="AH99" s="928" t="s">
        <v>160</v>
      </c>
      <c r="AI99" s="915" t="s">
        <v>166</v>
      </c>
      <c r="AJ99" s="916" t="s">
        <v>160</v>
      </c>
      <c r="AK99" s="915"/>
      <c r="AL99" s="933"/>
      <c r="AM99" s="327" t="s">
        <v>431</v>
      </c>
    </row>
    <row r="100" spans="1:39" ht="16.5" customHeight="1" x14ac:dyDescent="0.3">
      <c r="A100" s="937"/>
      <c r="B100" s="927" t="s">
        <v>19</v>
      </c>
      <c r="C100" s="927" t="s">
        <v>8</v>
      </c>
      <c r="D100" s="927">
        <v>1</v>
      </c>
      <c r="E100" s="20" t="s">
        <v>102</v>
      </c>
      <c r="F100" s="243" t="s">
        <v>273</v>
      </c>
      <c r="G100" s="146">
        <v>10</v>
      </c>
      <c r="H100" s="149">
        <v>46415</v>
      </c>
      <c r="I100" s="13">
        <v>1</v>
      </c>
      <c r="J100" s="985" t="s">
        <v>9</v>
      </c>
      <c r="K100" s="343"/>
      <c r="L100" s="795"/>
      <c r="M100" s="944"/>
      <c r="N100" s="872"/>
      <c r="O100" s="872"/>
      <c r="P100" s="872"/>
      <c r="Q100" s="921"/>
      <c r="R100" s="889"/>
      <c r="S100" s="927"/>
      <c r="T100" s="872"/>
      <c r="U100" s="872"/>
      <c r="V100" s="872"/>
      <c r="W100" s="872"/>
      <c r="X100" s="362"/>
      <c r="Y100" s="872"/>
      <c r="Z100" s="1057"/>
      <c r="AA100" s="1049"/>
      <c r="AB100" s="1049"/>
      <c r="AC100" s="1035"/>
      <c r="AD100" s="58"/>
      <c r="AE100" s="79"/>
      <c r="AF100" s="57"/>
      <c r="AG100" s="38"/>
      <c r="AH100" s="928"/>
      <c r="AI100" s="915"/>
      <c r="AJ100" s="917"/>
      <c r="AK100" s="915"/>
      <c r="AL100" s="933"/>
      <c r="AM100" s="325" t="s">
        <v>432</v>
      </c>
    </row>
    <row r="101" spans="1:39" ht="16.5" customHeight="1" x14ac:dyDescent="0.3">
      <c r="A101" s="937"/>
      <c r="B101" s="927" t="s">
        <v>19</v>
      </c>
      <c r="C101" s="927" t="s">
        <v>59</v>
      </c>
      <c r="D101" s="927">
        <v>1</v>
      </c>
      <c r="E101" s="11" t="s">
        <v>20</v>
      </c>
      <c r="F101" s="233">
        <v>2.01E-2</v>
      </c>
      <c r="G101" s="146">
        <v>10</v>
      </c>
      <c r="H101" s="173">
        <v>46415</v>
      </c>
      <c r="I101" s="13">
        <v>1</v>
      </c>
      <c r="J101" s="985" t="s">
        <v>9</v>
      </c>
      <c r="K101" s="343"/>
      <c r="L101" s="795"/>
      <c r="M101" s="944"/>
      <c r="N101" s="872"/>
      <c r="O101" s="872"/>
      <c r="P101" s="872"/>
      <c r="Q101" s="921"/>
      <c r="R101" s="889"/>
      <c r="S101" s="927"/>
      <c r="T101" s="872"/>
      <c r="U101" s="872"/>
      <c r="V101" s="872"/>
      <c r="W101" s="872"/>
      <c r="X101" s="362"/>
      <c r="Y101" s="872"/>
      <c r="Z101" s="1057"/>
      <c r="AA101" s="1049"/>
      <c r="AB101" s="1049"/>
      <c r="AC101" s="1035"/>
      <c r="AD101" s="58"/>
      <c r="AE101" s="79"/>
      <c r="AF101" s="57"/>
      <c r="AG101" s="38"/>
      <c r="AH101" s="928"/>
      <c r="AI101" s="915"/>
      <c r="AJ101" s="917"/>
      <c r="AK101" s="915"/>
      <c r="AL101" s="933"/>
      <c r="AM101" s="325" t="s">
        <v>433</v>
      </c>
    </row>
    <row r="102" spans="1:39" ht="16.5" customHeight="1" x14ac:dyDescent="0.3">
      <c r="A102" s="939"/>
      <c r="B102" s="941" t="s">
        <v>71</v>
      </c>
      <c r="C102" s="941" t="s">
        <v>8</v>
      </c>
      <c r="D102" s="941">
        <v>1</v>
      </c>
      <c r="E102" s="24" t="s">
        <v>100</v>
      </c>
      <c r="F102" s="237">
        <v>0.21060000000000001</v>
      </c>
      <c r="G102" s="147">
        <v>10</v>
      </c>
      <c r="H102" s="174">
        <v>46415</v>
      </c>
      <c r="I102" s="17">
        <v>1</v>
      </c>
      <c r="J102" s="986" t="s">
        <v>9</v>
      </c>
      <c r="K102" s="344"/>
      <c r="L102" s="796"/>
      <c r="M102" s="945"/>
      <c r="N102" s="874"/>
      <c r="O102" s="874"/>
      <c r="P102" s="874"/>
      <c r="Q102" s="946"/>
      <c r="R102" s="890"/>
      <c r="S102" s="941"/>
      <c r="T102" s="874"/>
      <c r="U102" s="874"/>
      <c r="V102" s="874"/>
      <c r="W102" s="874"/>
      <c r="X102" s="363"/>
      <c r="Y102" s="874"/>
      <c r="Z102" s="1058"/>
      <c r="AA102" s="1050"/>
      <c r="AB102" s="1050"/>
      <c r="AC102" s="1036"/>
      <c r="AD102" s="60"/>
      <c r="AE102" s="80"/>
      <c r="AF102" s="57"/>
      <c r="AG102" s="38"/>
      <c r="AH102" s="928"/>
      <c r="AI102" s="915"/>
      <c r="AJ102" s="918"/>
      <c r="AK102" s="915"/>
      <c r="AL102" s="933"/>
      <c r="AM102" s="60"/>
    </row>
    <row r="103" spans="1:39" s="10" customFormat="1" ht="17.100000000000001" customHeight="1" x14ac:dyDescent="0.3">
      <c r="A103" s="1092">
        <v>46387</v>
      </c>
      <c r="B103" s="913" t="s">
        <v>978</v>
      </c>
      <c r="C103" s="891" t="s">
        <v>60</v>
      </c>
      <c r="D103" s="891">
        <v>2</v>
      </c>
      <c r="E103" s="19" t="s">
        <v>2</v>
      </c>
      <c r="F103" s="221" t="s">
        <v>206</v>
      </c>
      <c r="G103" s="569">
        <v>10</v>
      </c>
      <c r="H103" s="572"/>
      <c r="I103" s="7">
        <v>0.6</v>
      </c>
      <c r="J103" s="942" t="s">
        <v>749</v>
      </c>
      <c r="K103" s="676"/>
      <c r="L103" s="675"/>
      <c r="M103" s="948" t="s">
        <v>405</v>
      </c>
      <c r="N103" s="888">
        <v>42787</v>
      </c>
      <c r="O103" s="888">
        <v>46073</v>
      </c>
      <c r="P103" s="888">
        <v>46438</v>
      </c>
      <c r="Q103" s="888" t="s">
        <v>631</v>
      </c>
      <c r="R103" s="1065" t="s">
        <v>579</v>
      </c>
      <c r="S103" s="913"/>
      <c r="T103" s="888">
        <v>42655</v>
      </c>
      <c r="U103" s="888">
        <v>45941</v>
      </c>
      <c r="V103" s="888">
        <v>46306</v>
      </c>
      <c r="W103" s="888"/>
      <c r="X103" s="888"/>
      <c r="Y103" s="959"/>
      <c r="Z103" s="584"/>
      <c r="AA103" s="1048" t="s">
        <v>388</v>
      </c>
      <c r="AB103" s="878"/>
      <c r="AC103" s="881">
        <v>2300000</v>
      </c>
      <c r="AD103" s="56"/>
      <c r="AE103" s="78"/>
      <c r="AF103" s="57"/>
      <c r="AG103" s="9" t="s">
        <v>138</v>
      </c>
      <c r="AH103" s="1011" t="s">
        <v>165</v>
      </c>
      <c r="AI103" s="1015" t="s">
        <v>160</v>
      </c>
      <c r="AJ103" s="1007" t="s">
        <v>161</v>
      </c>
      <c r="AK103" s="1015"/>
      <c r="AL103" s="1006"/>
      <c r="AM103" s="64"/>
    </row>
    <row r="104" spans="1:39" s="10" customFormat="1" ht="17.100000000000001" customHeight="1" x14ac:dyDescent="0.3">
      <c r="A104" s="1093"/>
      <c r="B104" s="955"/>
      <c r="C104" s="889"/>
      <c r="D104" s="889"/>
      <c r="E104" s="26" t="s">
        <v>529</v>
      </c>
      <c r="F104" s="243" t="s">
        <v>208</v>
      </c>
      <c r="G104" s="570">
        <v>10</v>
      </c>
      <c r="H104" s="573">
        <v>46225</v>
      </c>
      <c r="I104" s="13">
        <v>0.9</v>
      </c>
      <c r="J104" s="985" t="s">
        <v>9</v>
      </c>
      <c r="K104" s="343"/>
      <c r="L104" s="785"/>
      <c r="M104" s="949"/>
      <c r="N104" s="921"/>
      <c r="O104" s="921"/>
      <c r="P104" s="921"/>
      <c r="Q104" s="921"/>
      <c r="R104" s="1162"/>
      <c r="S104" s="955"/>
      <c r="T104" s="921"/>
      <c r="U104" s="921"/>
      <c r="V104" s="921"/>
      <c r="W104" s="921"/>
      <c r="X104" s="921"/>
      <c r="Y104" s="1059"/>
      <c r="Z104" s="581">
        <v>46064</v>
      </c>
      <c r="AA104" s="1049"/>
      <c r="AB104" s="879"/>
      <c r="AC104" s="882"/>
      <c r="AD104" s="58"/>
      <c r="AE104" s="79"/>
      <c r="AF104" s="59"/>
      <c r="AG104" s="9"/>
      <c r="AH104" s="1011"/>
      <c r="AI104" s="1015"/>
      <c r="AJ104" s="1008"/>
      <c r="AK104" s="1015"/>
      <c r="AL104" s="1006"/>
      <c r="AM104" s="58"/>
    </row>
    <row r="105" spans="1:39" s="10" customFormat="1" ht="17.100000000000001" customHeight="1" x14ac:dyDescent="0.3">
      <c r="A105" s="1093"/>
      <c r="B105" s="955"/>
      <c r="C105" s="889"/>
      <c r="D105" s="889"/>
      <c r="E105" s="20" t="s">
        <v>100</v>
      </c>
      <c r="F105" s="233">
        <v>0.2109</v>
      </c>
      <c r="G105" s="570">
        <v>10</v>
      </c>
      <c r="H105" s="573">
        <v>46114</v>
      </c>
      <c r="I105" s="13">
        <v>0.4</v>
      </c>
      <c r="J105" s="985" t="s">
        <v>9</v>
      </c>
      <c r="K105" s="744" t="s">
        <v>947</v>
      </c>
      <c r="L105" s="743">
        <v>46101</v>
      </c>
      <c r="M105" s="949"/>
      <c r="N105" s="954"/>
      <c r="O105" s="954"/>
      <c r="P105" s="954"/>
      <c r="Q105" s="954"/>
      <c r="R105" s="1162"/>
      <c r="S105" s="955"/>
      <c r="T105" s="921"/>
      <c r="U105" s="921"/>
      <c r="V105" s="921"/>
      <c r="W105" s="921"/>
      <c r="X105" s="921"/>
      <c r="Y105" s="1059"/>
      <c r="Z105" s="581">
        <v>46072</v>
      </c>
      <c r="AA105" s="1049"/>
      <c r="AB105" s="879"/>
      <c r="AC105" s="882"/>
      <c r="AD105" s="58"/>
      <c r="AE105" s="79"/>
      <c r="AF105" s="59"/>
      <c r="AG105" s="9"/>
      <c r="AH105" s="1011"/>
      <c r="AI105" s="1015"/>
      <c r="AJ105" s="1008"/>
      <c r="AK105" s="1015"/>
      <c r="AL105" s="1006"/>
      <c r="AM105" s="58"/>
    </row>
    <row r="106" spans="1:39" s="10" customFormat="1" ht="17.100000000000001" customHeight="1" x14ac:dyDescent="0.3">
      <c r="A106" s="1093"/>
      <c r="B106" s="955"/>
      <c r="C106" s="889"/>
      <c r="D106" s="889"/>
      <c r="E106" s="33" t="s">
        <v>101</v>
      </c>
      <c r="F106" s="272" t="s">
        <v>207</v>
      </c>
      <c r="G106" s="577">
        <v>10</v>
      </c>
      <c r="H106" s="647">
        <v>46225</v>
      </c>
      <c r="I106" s="34">
        <v>0.65</v>
      </c>
      <c r="J106" s="1161" t="s">
        <v>90</v>
      </c>
      <c r="K106" s="343"/>
      <c r="L106" s="785"/>
      <c r="M106" s="949"/>
      <c r="N106" s="575">
        <v>44599</v>
      </c>
      <c r="O106" s="575">
        <v>46059</v>
      </c>
      <c r="P106" s="575">
        <v>46424</v>
      </c>
      <c r="Q106" s="571" t="s">
        <v>580</v>
      </c>
      <c r="R106" s="1162"/>
      <c r="S106" s="955"/>
      <c r="T106" s="921"/>
      <c r="U106" s="921"/>
      <c r="V106" s="921"/>
      <c r="W106" s="921"/>
      <c r="X106" s="921"/>
      <c r="Y106" s="1059"/>
      <c r="Z106" s="617">
        <v>46076</v>
      </c>
      <c r="AA106" s="1049"/>
      <c r="AB106" s="879"/>
      <c r="AC106" s="882"/>
      <c r="AD106" s="62"/>
      <c r="AE106" s="80"/>
      <c r="AF106" s="59"/>
      <c r="AG106" s="9"/>
      <c r="AH106" s="1011"/>
      <c r="AI106" s="1015"/>
      <c r="AJ106" s="1009"/>
      <c r="AK106" s="1015"/>
      <c r="AL106" s="1006"/>
      <c r="AM106" s="60"/>
    </row>
    <row r="107" spans="1:39" s="10" customFormat="1" ht="17.100000000000001" customHeight="1" x14ac:dyDescent="0.3">
      <c r="A107" s="1094"/>
      <c r="B107" s="1085"/>
      <c r="C107" s="890"/>
      <c r="D107" s="890"/>
      <c r="E107" s="24" t="s">
        <v>738</v>
      </c>
      <c r="F107" s="242"/>
      <c r="G107" s="576"/>
      <c r="H107" s="574"/>
      <c r="I107" s="17"/>
      <c r="J107" s="583"/>
      <c r="K107" s="344"/>
      <c r="L107" s="582"/>
      <c r="M107" s="950"/>
      <c r="N107" s="574"/>
      <c r="O107" s="574"/>
      <c r="P107" s="574">
        <v>46474</v>
      </c>
      <c r="Q107" s="574"/>
      <c r="R107" s="1163"/>
      <c r="S107" s="1085"/>
      <c r="T107" s="946"/>
      <c r="U107" s="946"/>
      <c r="V107" s="946"/>
      <c r="W107" s="946"/>
      <c r="X107" s="946"/>
      <c r="Y107" s="1060"/>
      <c r="Z107" s="585"/>
      <c r="AA107" s="1050"/>
      <c r="AB107" s="880"/>
      <c r="AC107" s="883"/>
      <c r="AD107" s="60"/>
      <c r="AE107" s="80"/>
      <c r="AF107" s="59"/>
      <c r="AG107" s="9"/>
      <c r="AH107" s="580"/>
      <c r="AI107" s="579"/>
      <c r="AJ107" s="578"/>
      <c r="AK107" s="579"/>
      <c r="AL107" s="586"/>
      <c r="AM107" s="60"/>
    </row>
    <row r="108" spans="1:39" s="10" customFormat="1" ht="17.100000000000001" customHeight="1" x14ac:dyDescent="0.3">
      <c r="A108" s="1077">
        <v>46538</v>
      </c>
      <c r="B108" s="902" t="s">
        <v>979</v>
      </c>
      <c r="C108" s="902" t="s">
        <v>896</v>
      </c>
      <c r="D108" s="902">
        <v>33</v>
      </c>
      <c r="E108" s="35" t="s">
        <v>49</v>
      </c>
      <c r="F108" s="390" t="s">
        <v>209</v>
      </c>
      <c r="G108" s="156">
        <v>10</v>
      </c>
      <c r="H108" s="152">
        <v>46268</v>
      </c>
      <c r="I108" s="36">
        <v>1</v>
      </c>
      <c r="J108" s="1074" t="s">
        <v>511</v>
      </c>
      <c r="K108" s="341"/>
      <c r="L108" s="684"/>
      <c r="M108" s="944" t="s">
        <v>415</v>
      </c>
      <c r="N108" s="954"/>
      <c r="O108" s="954">
        <v>45865</v>
      </c>
      <c r="P108" s="954">
        <v>46230</v>
      </c>
      <c r="Q108" s="921"/>
      <c r="R108" s="1059" t="s">
        <v>807</v>
      </c>
      <c r="S108" s="955" t="s">
        <v>807</v>
      </c>
      <c r="T108" s="954">
        <v>42965</v>
      </c>
      <c r="U108" s="954">
        <v>45831</v>
      </c>
      <c r="V108" s="921">
        <v>46195</v>
      </c>
      <c r="W108" s="1052" t="s">
        <v>614</v>
      </c>
      <c r="X108" s="888"/>
      <c r="Y108" s="1042" t="s">
        <v>871</v>
      </c>
      <c r="Z108" s="876">
        <v>46072</v>
      </c>
      <c r="AA108" s="879" t="s">
        <v>387</v>
      </c>
      <c r="AB108" s="879" t="s">
        <v>390</v>
      </c>
      <c r="AC108" s="882">
        <v>1100000</v>
      </c>
      <c r="AD108" s="64" t="s">
        <v>186</v>
      </c>
      <c r="AE108" s="78"/>
      <c r="AF108" s="57"/>
      <c r="AG108" s="9" t="s">
        <v>137</v>
      </c>
      <c r="AH108" s="928"/>
      <c r="AI108" s="915"/>
      <c r="AJ108" s="916"/>
      <c r="AK108" s="915"/>
      <c r="AL108" s="933" t="s">
        <v>172</v>
      </c>
      <c r="AM108" s="327" t="s">
        <v>762</v>
      </c>
    </row>
    <row r="109" spans="1:39" s="10" customFormat="1" ht="17.100000000000001" customHeight="1" x14ac:dyDescent="0.3">
      <c r="A109" s="937"/>
      <c r="B109" s="927" t="s">
        <v>72</v>
      </c>
      <c r="C109" s="927" t="s">
        <v>60</v>
      </c>
      <c r="D109" s="927">
        <v>33</v>
      </c>
      <c r="E109" s="20" t="s">
        <v>103</v>
      </c>
      <c r="F109" s="243" t="s">
        <v>210</v>
      </c>
      <c r="G109" s="146">
        <v>10</v>
      </c>
      <c r="H109" s="149">
        <v>46268</v>
      </c>
      <c r="I109" s="13">
        <v>0.95</v>
      </c>
      <c r="J109" s="985"/>
      <c r="K109" s="343"/>
      <c r="L109" s="685"/>
      <c r="M109" s="944"/>
      <c r="N109" s="872"/>
      <c r="O109" s="872"/>
      <c r="P109" s="872"/>
      <c r="Q109" s="921"/>
      <c r="R109" s="921"/>
      <c r="S109" s="889"/>
      <c r="T109" s="872"/>
      <c r="U109" s="872" t="s">
        <v>17</v>
      </c>
      <c r="V109" s="921"/>
      <c r="W109" s="1053"/>
      <c r="X109" s="921"/>
      <c r="Y109" s="1043"/>
      <c r="Z109" s="876"/>
      <c r="AA109" s="879"/>
      <c r="AB109" s="879"/>
      <c r="AC109" s="882"/>
      <c r="AD109" s="58"/>
      <c r="AE109" s="79"/>
      <c r="AF109" s="59"/>
      <c r="AG109" s="9"/>
      <c r="AH109" s="928"/>
      <c r="AI109" s="915"/>
      <c r="AJ109" s="917"/>
      <c r="AK109" s="915"/>
      <c r="AL109" s="933"/>
      <c r="AM109" s="58"/>
    </row>
    <row r="110" spans="1:39" s="10" customFormat="1" ht="17.100000000000001" customHeight="1" x14ac:dyDescent="0.3">
      <c r="A110" s="937"/>
      <c r="B110" s="927" t="s">
        <v>73</v>
      </c>
      <c r="C110" s="927" t="s">
        <v>8</v>
      </c>
      <c r="D110" s="927">
        <v>33</v>
      </c>
      <c r="E110" s="11" t="s">
        <v>51</v>
      </c>
      <c r="F110" s="233">
        <v>0.02</v>
      </c>
      <c r="G110" s="146">
        <v>10</v>
      </c>
      <c r="H110" s="419">
        <v>46268</v>
      </c>
      <c r="I110" s="13">
        <v>0.96</v>
      </c>
      <c r="J110" s="985"/>
      <c r="K110" s="343"/>
      <c r="L110" s="685"/>
      <c r="M110" s="944"/>
      <c r="N110" s="872"/>
      <c r="O110" s="872"/>
      <c r="P110" s="872"/>
      <c r="Q110" s="921"/>
      <c r="R110" s="921"/>
      <c r="S110" s="889"/>
      <c r="T110" s="872"/>
      <c r="U110" s="872" t="s">
        <v>17</v>
      </c>
      <c r="V110" s="921"/>
      <c r="W110" s="1053"/>
      <c r="X110" s="921"/>
      <c r="Y110" s="1043"/>
      <c r="Z110" s="876"/>
      <c r="AA110" s="879"/>
      <c r="AB110" s="879"/>
      <c r="AC110" s="882"/>
      <c r="AD110" s="58"/>
      <c r="AE110" s="79"/>
      <c r="AF110" s="59"/>
      <c r="AG110" s="9"/>
      <c r="AH110" s="928"/>
      <c r="AI110" s="915"/>
      <c r="AJ110" s="917"/>
      <c r="AK110" s="915"/>
      <c r="AL110" s="933"/>
      <c r="AM110" s="58"/>
    </row>
    <row r="111" spans="1:39" s="10" customFormat="1" ht="17.100000000000001" customHeight="1" x14ac:dyDescent="0.3">
      <c r="A111" s="939"/>
      <c r="B111" s="941" t="s">
        <v>43</v>
      </c>
      <c r="C111" s="941" t="s">
        <v>59</v>
      </c>
      <c r="D111" s="941">
        <v>33</v>
      </c>
      <c r="E111" s="24" t="s">
        <v>100</v>
      </c>
      <c r="F111" s="237">
        <v>0.21</v>
      </c>
      <c r="G111" s="147">
        <v>10</v>
      </c>
      <c r="H111" s="150">
        <v>46268</v>
      </c>
      <c r="I111" s="17">
        <v>0.98</v>
      </c>
      <c r="J111" s="986"/>
      <c r="K111" s="344"/>
      <c r="L111" s="686"/>
      <c r="M111" s="945"/>
      <c r="N111" s="874"/>
      <c r="O111" s="874"/>
      <c r="P111" s="874"/>
      <c r="Q111" s="946"/>
      <c r="R111" s="946"/>
      <c r="S111" s="890"/>
      <c r="T111" s="874"/>
      <c r="U111" s="874" t="s">
        <v>17</v>
      </c>
      <c r="V111" s="946"/>
      <c r="W111" s="1054"/>
      <c r="X111" s="946"/>
      <c r="Y111" s="1044"/>
      <c r="Z111" s="877"/>
      <c r="AA111" s="880"/>
      <c r="AB111" s="880"/>
      <c r="AC111" s="883"/>
      <c r="AD111" s="60"/>
      <c r="AE111" s="81"/>
      <c r="AF111" s="63"/>
      <c r="AG111" s="9"/>
      <c r="AH111" s="928"/>
      <c r="AI111" s="915"/>
      <c r="AJ111" s="918"/>
      <c r="AK111" s="915"/>
      <c r="AL111" s="933"/>
      <c r="AM111" s="60"/>
    </row>
    <row r="112" spans="1:39" ht="17.100000000000001" customHeight="1" x14ac:dyDescent="0.3">
      <c r="A112" s="1082">
        <v>46295</v>
      </c>
      <c r="B112" s="891" t="s">
        <v>980</v>
      </c>
      <c r="C112" s="889" t="s">
        <v>897</v>
      </c>
      <c r="D112" s="889">
        <v>5</v>
      </c>
      <c r="E112" s="11" t="s">
        <v>644</v>
      </c>
      <c r="F112" s="243" t="s">
        <v>211</v>
      </c>
      <c r="G112" s="146">
        <v>10</v>
      </c>
      <c r="H112" s="274">
        <v>46225</v>
      </c>
      <c r="I112" s="13">
        <v>0.83</v>
      </c>
      <c r="J112" s="1097" t="s">
        <v>955</v>
      </c>
      <c r="K112" s="343"/>
      <c r="L112" s="688"/>
      <c r="M112" s="970" t="s">
        <v>925</v>
      </c>
      <c r="N112" s="721"/>
      <c r="O112" s="721"/>
      <c r="P112" s="721"/>
      <c r="Q112" s="722"/>
      <c r="R112" s="888" t="s">
        <v>926</v>
      </c>
      <c r="S112" s="1103" t="s">
        <v>948</v>
      </c>
      <c r="T112" s="888"/>
      <c r="U112" s="888"/>
      <c r="V112" s="888"/>
      <c r="W112" s="888"/>
      <c r="X112" s="888" t="s">
        <v>924</v>
      </c>
      <c r="Y112" s="726"/>
      <c r="Z112" s="897">
        <v>46077</v>
      </c>
      <c r="AA112" s="878"/>
      <c r="AB112" s="878"/>
      <c r="AC112" s="881"/>
      <c r="AD112" s="62"/>
      <c r="AE112" s="62"/>
      <c r="AF112" s="59"/>
      <c r="AG112" s="38"/>
      <c r="AH112" s="725"/>
      <c r="AI112" s="723"/>
      <c r="AJ112" s="724"/>
      <c r="AK112" s="723"/>
      <c r="AL112" s="720"/>
      <c r="AM112" s="62"/>
    </row>
    <row r="113" spans="1:39" ht="17.100000000000001" customHeight="1" x14ac:dyDescent="0.3">
      <c r="A113" s="1084"/>
      <c r="B113" s="890"/>
      <c r="C113" s="890"/>
      <c r="D113" s="890"/>
      <c r="E113" s="134" t="s">
        <v>183</v>
      </c>
      <c r="F113" s="223"/>
      <c r="G113" s="144">
        <v>10</v>
      </c>
      <c r="H113" s="142"/>
      <c r="I113" s="128">
        <v>0.75</v>
      </c>
      <c r="J113" s="1098"/>
      <c r="K113" s="347"/>
      <c r="L113" s="358"/>
      <c r="M113" s="969"/>
      <c r="N113" s="413">
        <v>42816</v>
      </c>
      <c r="O113" s="413" t="s">
        <v>890</v>
      </c>
      <c r="P113" s="413">
        <v>46102</v>
      </c>
      <c r="Q113" s="413"/>
      <c r="R113" s="946"/>
      <c r="S113" s="1104"/>
      <c r="T113" s="946"/>
      <c r="U113" s="946"/>
      <c r="V113" s="946"/>
      <c r="W113" s="946"/>
      <c r="X113" s="946"/>
      <c r="Y113" s="666"/>
      <c r="Z113" s="877"/>
      <c r="AA113" s="880"/>
      <c r="AB113" s="880"/>
      <c r="AC113" s="883"/>
      <c r="AD113" s="131"/>
      <c r="AE113" s="82"/>
      <c r="AF113" s="59"/>
      <c r="AG113" s="38"/>
      <c r="AH113" s="127"/>
      <c r="AI113" s="126"/>
      <c r="AJ113" s="124"/>
      <c r="AK113" s="126"/>
      <c r="AL113" s="125"/>
      <c r="AM113" s="131"/>
    </row>
    <row r="114" spans="1:39" s="10" customFormat="1" ht="17.100000000000001" customHeight="1" x14ac:dyDescent="0.3">
      <c r="A114" s="1082">
        <v>46356</v>
      </c>
      <c r="B114" s="891" t="s">
        <v>981</v>
      </c>
      <c r="C114" s="889" t="s">
        <v>7</v>
      </c>
      <c r="D114" s="902">
        <v>18</v>
      </c>
      <c r="E114" s="398" t="s">
        <v>485</v>
      </c>
      <c r="F114" s="389" t="s">
        <v>212</v>
      </c>
      <c r="G114" s="156">
        <v>10</v>
      </c>
      <c r="H114" s="152">
        <v>46246</v>
      </c>
      <c r="I114" s="36">
        <v>1</v>
      </c>
      <c r="J114" s="1074" t="s">
        <v>347</v>
      </c>
      <c r="K114" s="341"/>
      <c r="L114" s="648"/>
      <c r="M114" s="943" t="s">
        <v>408</v>
      </c>
      <c r="N114" s="921">
        <v>44259</v>
      </c>
      <c r="O114" s="921">
        <v>45719</v>
      </c>
      <c r="P114" s="921">
        <v>46084</v>
      </c>
      <c r="Q114" s="888"/>
      <c r="R114" s="895" t="s">
        <v>868</v>
      </c>
      <c r="S114" s="934" t="s">
        <v>869</v>
      </c>
      <c r="T114" s="921">
        <v>44214</v>
      </c>
      <c r="U114" s="888">
        <v>46039</v>
      </c>
      <c r="V114" s="921">
        <v>46404</v>
      </c>
      <c r="W114" s="921" t="s">
        <v>963</v>
      </c>
      <c r="X114" s="1070" t="s">
        <v>867</v>
      </c>
      <c r="Y114" s="959" t="s">
        <v>965</v>
      </c>
      <c r="Z114" s="1037">
        <v>46066</v>
      </c>
      <c r="AA114" s="878" t="s">
        <v>373</v>
      </c>
      <c r="AB114" s="878" t="s">
        <v>374</v>
      </c>
      <c r="AC114" s="881">
        <v>4175000</v>
      </c>
      <c r="AD114" s="64" t="s">
        <v>375</v>
      </c>
      <c r="AE114" s="78"/>
      <c r="AF114" s="57"/>
      <c r="AG114" s="23" t="s">
        <v>140</v>
      </c>
      <c r="AH114" s="928" t="s">
        <v>165</v>
      </c>
      <c r="AI114" s="915" t="s">
        <v>166</v>
      </c>
      <c r="AJ114" s="916" t="s">
        <v>160</v>
      </c>
      <c r="AK114" s="915"/>
      <c r="AL114" s="933"/>
      <c r="AM114" s="64"/>
    </row>
    <row r="115" spans="1:39" s="10" customFormat="1" ht="17.100000000000001" customHeight="1" x14ac:dyDescent="0.3">
      <c r="A115" s="1083"/>
      <c r="B115" s="889"/>
      <c r="C115" s="889"/>
      <c r="D115" s="940">
        <v>18</v>
      </c>
      <c r="E115" s="33" t="s">
        <v>116</v>
      </c>
      <c r="F115" s="245" t="s">
        <v>269</v>
      </c>
      <c r="G115" s="155">
        <v>10</v>
      </c>
      <c r="H115" s="151">
        <v>46246</v>
      </c>
      <c r="I115" s="34">
        <v>0</v>
      </c>
      <c r="J115" s="985" t="s">
        <v>9</v>
      </c>
      <c r="K115" s="736" t="s">
        <v>873</v>
      </c>
      <c r="L115" s="648"/>
      <c r="M115" s="944"/>
      <c r="N115" s="954"/>
      <c r="O115" s="954"/>
      <c r="P115" s="954"/>
      <c r="Q115" s="954"/>
      <c r="R115" s="896"/>
      <c r="S115" s="935"/>
      <c r="T115" s="954"/>
      <c r="U115" s="954"/>
      <c r="V115" s="954"/>
      <c r="W115" s="954"/>
      <c r="X115" s="1071"/>
      <c r="Y115" s="921"/>
      <c r="Z115" s="1033"/>
      <c r="AA115" s="879"/>
      <c r="AB115" s="879"/>
      <c r="AC115" s="882"/>
      <c r="AD115" s="58" t="s">
        <v>545</v>
      </c>
      <c r="AE115" s="79"/>
      <c r="AF115" s="59"/>
      <c r="AG115" s="9"/>
      <c r="AH115" s="928"/>
      <c r="AI115" s="915"/>
      <c r="AJ115" s="917"/>
      <c r="AK115" s="915"/>
      <c r="AL115" s="933"/>
      <c r="AM115" s="58"/>
    </row>
    <row r="116" spans="1:39" s="10" customFormat="1" ht="17.100000000000001" customHeight="1" x14ac:dyDescent="0.3">
      <c r="A116" s="1083"/>
      <c r="B116" s="889"/>
      <c r="C116" s="889"/>
      <c r="D116" s="1075">
        <v>19</v>
      </c>
      <c r="E116" s="195" t="s">
        <v>2</v>
      </c>
      <c r="F116" s="390" t="s">
        <v>13</v>
      </c>
      <c r="G116" s="196">
        <v>10</v>
      </c>
      <c r="H116" s="197">
        <v>46246</v>
      </c>
      <c r="I116" s="198">
        <v>1</v>
      </c>
      <c r="J116" s="985" t="s">
        <v>9</v>
      </c>
      <c r="K116" s="343"/>
      <c r="L116" s="648"/>
      <c r="M116" s="944"/>
      <c r="N116" s="873">
        <v>44258</v>
      </c>
      <c r="O116" s="873">
        <v>45718</v>
      </c>
      <c r="P116" s="873">
        <v>46083</v>
      </c>
      <c r="Q116" s="873"/>
      <c r="R116" s="896"/>
      <c r="S116" s="935"/>
      <c r="T116" s="873">
        <v>44214</v>
      </c>
      <c r="U116" s="873">
        <v>46039</v>
      </c>
      <c r="V116" s="873">
        <v>46404</v>
      </c>
      <c r="W116" s="873" t="s">
        <v>613</v>
      </c>
      <c r="X116" s="1071"/>
      <c r="Y116" s="921"/>
      <c r="Z116" s="1033"/>
      <c r="AA116" s="879"/>
      <c r="AB116" s="879"/>
      <c r="AC116" s="882"/>
      <c r="AD116" s="58" t="s">
        <v>795</v>
      </c>
      <c r="AE116" s="79"/>
      <c r="AF116" s="59"/>
      <c r="AG116" s="9"/>
      <c r="AH116" s="928"/>
      <c r="AI116" s="915"/>
      <c r="AJ116" s="917"/>
      <c r="AK116" s="915"/>
      <c r="AL116" s="933"/>
      <c r="AM116" s="58"/>
    </row>
    <row r="117" spans="1:39" s="10" customFormat="1" ht="17.100000000000001" customHeight="1" x14ac:dyDescent="0.3">
      <c r="A117" s="1083"/>
      <c r="B117" s="889"/>
      <c r="C117" s="889"/>
      <c r="D117" s="923">
        <v>19</v>
      </c>
      <c r="E117" s="185" t="s">
        <v>116</v>
      </c>
      <c r="F117" s="245" t="s">
        <v>268</v>
      </c>
      <c r="G117" s="182">
        <v>10</v>
      </c>
      <c r="H117" s="183">
        <v>46246</v>
      </c>
      <c r="I117" s="184">
        <v>0.9</v>
      </c>
      <c r="J117" s="985" t="s">
        <v>90</v>
      </c>
      <c r="K117" s="343"/>
      <c r="L117" s="648"/>
      <c r="M117" s="944"/>
      <c r="N117" s="954"/>
      <c r="O117" s="954"/>
      <c r="P117" s="954"/>
      <c r="Q117" s="954"/>
      <c r="R117" s="896"/>
      <c r="S117" s="935"/>
      <c r="T117" s="954"/>
      <c r="U117" s="954"/>
      <c r="V117" s="954"/>
      <c r="W117" s="954"/>
      <c r="X117" s="1071"/>
      <c r="Y117" s="921"/>
      <c r="Z117" s="1033"/>
      <c r="AA117" s="879"/>
      <c r="AB117" s="879"/>
      <c r="AC117" s="882"/>
      <c r="AD117" s="58" t="s">
        <v>376</v>
      </c>
      <c r="AE117" s="79"/>
      <c r="AF117" s="59"/>
      <c r="AG117" s="9"/>
      <c r="AH117" s="928"/>
      <c r="AI117" s="915"/>
      <c r="AJ117" s="917"/>
      <c r="AK117" s="915"/>
      <c r="AL117" s="933"/>
      <c r="AM117" s="58"/>
    </row>
    <row r="118" spans="1:39" s="10" customFormat="1" ht="17.100000000000001" customHeight="1" x14ac:dyDescent="0.3">
      <c r="A118" s="1083"/>
      <c r="B118" s="889"/>
      <c r="C118" s="889"/>
      <c r="D118" s="902">
        <v>36</v>
      </c>
      <c r="E118" s="35" t="s">
        <v>2</v>
      </c>
      <c r="F118" s="390" t="s">
        <v>13</v>
      </c>
      <c r="G118" s="156">
        <v>10</v>
      </c>
      <c r="H118" s="645">
        <v>46246</v>
      </c>
      <c r="I118" s="36">
        <v>1</v>
      </c>
      <c r="J118" s="985" t="s">
        <v>91</v>
      </c>
      <c r="K118" s="343"/>
      <c r="L118" s="648"/>
      <c r="M118" s="944"/>
      <c r="N118" s="873">
        <v>44258</v>
      </c>
      <c r="O118" s="873">
        <v>45718</v>
      </c>
      <c r="P118" s="873">
        <v>46083</v>
      </c>
      <c r="Q118" s="873"/>
      <c r="R118" s="896"/>
      <c r="S118" s="935"/>
      <c r="T118" s="873">
        <v>44214</v>
      </c>
      <c r="U118" s="873">
        <v>46039</v>
      </c>
      <c r="V118" s="873">
        <v>46404</v>
      </c>
      <c r="W118" s="873" t="s">
        <v>613</v>
      </c>
      <c r="X118" s="1071"/>
      <c r="Y118" s="921"/>
      <c r="Z118" s="1033"/>
      <c r="AA118" s="879"/>
      <c r="AB118" s="879"/>
      <c r="AC118" s="882"/>
      <c r="AD118" s="58" t="s">
        <v>602</v>
      </c>
      <c r="AE118" s="79"/>
      <c r="AF118" s="59"/>
      <c r="AG118" s="9"/>
      <c r="AH118" s="928"/>
      <c r="AI118" s="915"/>
      <c r="AJ118" s="917"/>
      <c r="AK118" s="915"/>
      <c r="AL118" s="933"/>
      <c r="AM118" s="58"/>
    </row>
    <row r="119" spans="1:39" s="10" customFormat="1" ht="17.100000000000001" customHeight="1" x14ac:dyDescent="0.3">
      <c r="A119" s="1083"/>
      <c r="B119" s="889"/>
      <c r="C119" s="889"/>
      <c r="D119" s="940">
        <v>36</v>
      </c>
      <c r="E119" s="33" t="s">
        <v>116</v>
      </c>
      <c r="F119" s="245" t="s">
        <v>267</v>
      </c>
      <c r="G119" s="155">
        <v>10</v>
      </c>
      <c r="H119" s="183">
        <v>46246</v>
      </c>
      <c r="I119" s="34">
        <v>0.85</v>
      </c>
      <c r="J119" s="985" t="s">
        <v>9</v>
      </c>
      <c r="K119" s="343"/>
      <c r="L119" s="648"/>
      <c r="M119" s="944"/>
      <c r="N119" s="954"/>
      <c r="O119" s="954"/>
      <c r="P119" s="954"/>
      <c r="Q119" s="954"/>
      <c r="R119" s="896"/>
      <c r="S119" s="935"/>
      <c r="T119" s="954"/>
      <c r="U119" s="954"/>
      <c r="V119" s="954"/>
      <c r="W119" s="954"/>
      <c r="X119" s="1071"/>
      <c r="Y119" s="921"/>
      <c r="Z119" s="1033"/>
      <c r="AA119" s="879"/>
      <c r="AB119" s="879"/>
      <c r="AC119" s="882"/>
      <c r="AD119" s="58"/>
      <c r="AE119" s="79"/>
      <c r="AF119" s="59"/>
      <c r="AG119" s="9"/>
      <c r="AH119" s="928"/>
      <c r="AI119" s="915"/>
      <c r="AJ119" s="917"/>
      <c r="AK119" s="915"/>
      <c r="AL119" s="933"/>
      <c r="AM119" s="58"/>
    </row>
    <row r="120" spans="1:39" s="10" customFormat="1" ht="17.100000000000001" customHeight="1" x14ac:dyDescent="0.3">
      <c r="A120" s="1083"/>
      <c r="B120" s="889"/>
      <c r="C120" s="889"/>
      <c r="D120" s="1075">
        <v>38</v>
      </c>
      <c r="E120" s="195" t="s">
        <v>659</v>
      </c>
      <c r="F120" s="388" t="s">
        <v>13</v>
      </c>
      <c r="G120" s="196">
        <v>10</v>
      </c>
      <c r="H120" s="645">
        <v>46246</v>
      </c>
      <c r="I120" s="198">
        <v>1</v>
      </c>
      <c r="J120" s="985" t="s">
        <v>9</v>
      </c>
      <c r="K120" s="343"/>
      <c r="L120" s="648"/>
      <c r="M120" s="944"/>
      <c r="N120" s="873">
        <v>44258</v>
      </c>
      <c r="O120" s="873">
        <v>45718</v>
      </c>
      <c r="P120" s="873">
        <v>46083</v>
      </c>
      <c r="Q120" s="873"/>
      <c r="R120" s="896"/>
      <c r="S120" s="935"/>
      <c r="T120" s="873">
        <v>44340</v>
      </c>
      <c r="U120" s="873">
        <v>45800</v>
      </c>
      <c r="V120" s="873">
        <v>46165</v>
      </c>
      <c r="W120" s="873" t="s">
        <v>291</v>
      </c>
      <c r="X120" s="1071"/>
      <c r="Y120" s="921"/>
      <c r="Z120" s="1033">
        <v>46080</v>
      </c>
      <c r="AA120" s="879"/>
      <c r="AB120" s="879"/>
      <c r="AC120" s="882"/>
      <c r="AD120" s="58"/>
      <c r="AE120" s="79"/>
      <c r="AF120" s="59"/>
      <c r="AG120" s="9"/>
      <c r="AH120" s="928"/>
      <c r="AI120" s="915"/>
      <c r="AJ120" s="917"/>
      <c r="AK120" s="915"/>
      <c r="AL120" s="933"/>
      <c r="AM120" s="58"/>
    </row>
    <row r="121" spans="1:39" s="10" customFormat="1" ht="17.100000000000001" customHeight="1" x14ac:dyDescent="0.3">
      <c r="A121" s="1083"/>
      <c r="B121" s="889"/>
      <c r="C121" s="889"/>
      <c r="D121" s="927">
        <v>38</v>
      </c>
      <c r="E121" s="20" t="s">
        <v>661</v>
      </c>
      <c r="F121" s="243" t="s">
        <v>213</v>
      </c>
      <c r="G121" s="146">
        <v>10</v>
      </c>
      <c r="H121" s="183">
        <v>46246</v>
      </c>
      <c r="I121" s="13">
        <v>0.72</v>
      </c>
      <c r="J121" s="985" t="s">
        <v>90</v>
      </c>
      <c r="K121" s="343"/>
      <c r="L121" s="648"/>
      <c r="M121" s="944"/>
      <c r="N121" s="921"/>
      <c r="O121" s="921"/>
      <c r="P121" s="921"/>
      <c r="Q121" s="921"/>
      <c r="R121" s="896"/>
      <c r="S121" s="935"/>
      <c r="T121" s="921"/>
      <c r="U121" s="921"/>
      <c r="V121" s="921"/>
      <c r="W121" s="921"/>
      <c r="X121" s="1071"/>
      <c r="Y121" s="921"/>
      <c r="Z121" s="1033"/>
      <c r="AA121" s="879"/>
      <c r="AB121" s="879"/>
      <c r="AC121" s="882"/>
      <c r="AD121" s="58"/>
      <c r="AE121" s="79"/>
      <c r="AF121" s="59"/>
      <c r="AG121" s="9"/>
      <c r="AH121" s="928"/>
      <c r="AI121" s="915"/>
      <c r="AJ121" s="917"/>
      <c r="AK121" s="915"/>
      <c r="AL121" s="933"/>
      <c r="AM121" s="58"/>
    </row>
    <row r="122" spans="1:39" s="10" customFormat="1" ht="17.100000000000001" customHeight="1" x14ac:dyDescent="0.3">
      <c r="A122" s="1083"/>
      <c r="B122" s="889"/>
      <c r="C122" s="889"/>
      <c r="D122" s="927">
        <v>38</v>
      </c>
      <c r="E122" s="11" t="s">
        <v>3</v>
      </c>
      <c r="F122" s="233">
        <v>2.01E-2</v>
      </c>
      <c r="G122" s="146">
        <v>10</v>
      </c>
      <c r="H122" s="149">
        <v>46246</v>
      </c>
      <c r="I122" s="13">
        <v>0.97</v>
      </c>
      <c r="J122" s="985" t="s">
        <v>90</v>
      </c>
      <c r="K122" s="343"/>
      <c r="L122" s="648"/>
      <c r="M122" s="944"/>
      <c r="N122" s="921"/>
      <c r="O122" s="921"/>
      <c r="P122" s="921"/>
      <c r="Q122" s="921"/>
      <c r="R122" s="896"/>
      <c r="S122" s="935"/>
      <c r="T122" s="921"/>
      <c r="U122" s="921"/>
      <c r="V122" s="921"/>
      <c r="W122" s="921"/>
      <c r="X122" s="1071"/>
      <c r="Y122" s="921"/>
      <c r="Z122" s="1033"/>
      <c r="AA122" s="879"/>
      <c r="AB122" s="879"/>
      <c r="AC122" s="882"/>
      <c r="AD122" s="58"/>
      <c r="AE122" s="79"/>
      <c r="AF122" s="59"/>
      <c r="AG122" s="9"/>
      <c r="AH122" s="928"/>
      <c r="AI122" s="915"/>
      <c r="AJ122" s="917"/>
      <c r="AK122" s="915"/>
      <c r="AL122" s="933"/>
      <c r="AM122" s="58"/>
    </row>
    <row r="123" spans="1:39" s="10" customFormat="1" ht="17.100000000000001" customHeight="1" x14ac:dyDescent="0.3">
      <c r="A123" s="1083"/>
      <c r="B123" s="889"/>
      <c r="C123" s="889"/>
      <c r="D123" s="923">
        <v>38</v>
      </c>
      <c r="E123" s="185" t="s">
        <v>100</v>
      </c>
      <c r="F123" s="234">
        <v>0.2064</v>
      </c>
      <c r="G123" s="182">
        <v>10</v>
      </c>
      <c r="H123" s="183">
        <v>46246</v>
      </c>
      <c r="I123" s="184">
        <v>0.95</v>
      </c>
      <c r="J123" s="985" t="s">
        <v>9</v>
      </c>
      <c r="K123" s="343"/>
      <c r="L123" s="648"/>
      <c r="M123" s="944"/>
      <c r="N123" s="954"/>
      <c r="O123" s="954"/>
      <c r="P123" s="954"/>
      <c r="Q123" s="954"/>
      <c r="R123" s="896"/>
      <c r="S123" s="935"/>
      <c r="T123" s="954"/>
      <c r="U123" s="954"/>
      <c r="V123" s="954"/>
      <c r="W123" s="954"/>
      <c r="X123" s="1071"/>
      <c r="Y123" s="921"/>
      <c r="Z123" s="1033"/>
      <c r="AA123" s="879"/>
      <c r="AB123" s="879"/>
      <c r="AC123" s="882"/>
      <c r="AD123" s="58"/>
      <c r="AE123" s="79"/>
      <c r="AF123" s="59"/>
      <c r="AG123" s="9"/>
      <c r="AH123" s="928"/>
      <c r="AI123" s="915"/>
      <c r="AJ123" s="917"/>
      <c r="AK123" s="915"/>
      <c r="AL123" s="933"/>
      <c r="AM123" s="58"/>
    </row>
    <row r="124" spans="1:39" s="10" customFormat="1" ht="17.100000000000001" customHeight="1" x14ac:dyDescent="0.3">
      <c r="A124" s="1083"/>
      <c r="B124" s="889"/>
      <c r="C124" s="889"/>
      <c r="D124" s="902">
        <v>41</v>
      </c>
      <c r="E124" s="35" t="s">
        <v>2</v>
      </c>
      <c r="F124" s="390" t="s">
        <v>13</v>
      </c>
      <c r="G124" s="650">
        <v>10</v>
      </c>
      <c r="H124" s="652">
        <v>46246</v>
      </c>
      <c r="I124" s="36">
        <v>1</v>
      </c>
      <c r="J124" s="985"/>
      <c r="K124" s="343"/>
      <c r="L124" s="653"/>
      <c r="M124" s="944"/>
      <c r="N124" s="873">
        <v>44259</v>
      </c>
      <c r="O124" s="873">
        <v>45719</v>
      </c>
      <c r="P124" s="873">
        <v>46084</v>
      </c>
      <c r="Q124" s="873"/>
      <c r="R124" s="896"/>
      <c r="S124" s="935"/>
      <c r="T124" s="873">
        <v>44214</v>
      </c>
      <c r="U124" s="873">
        <v>46039</v>
      </c>
      <c r="V124" s="873">
        <v>46404</v>
      </c>
      <c r="W124" s="873" t="s">
        <v>964</v>
      </c>
      <c r="X124" s="1071"/>
      <c r="Y124" s="921"/>
      <c r="Z124" s="1033"/>
      <c r="AA124" s="879"/>
      <c r="AB124" s="879"/>
      <c r="AC124" s="882"/>
      <c r="AD124" s="58"/>
      <c r="AE124" s="79"/>
      <c r="AF124" s="59"/>
      <c r="AG124" s="9"/>
      <c r="AH124" s="928"/>
      <c r="AI124" s="915"/>
      <c r="AJ124" s="917"/>
      <c r="AK124" s="915"/>
      <c r="AL124" s="933"/>
      <c r="AM124" s="58"/>
    </row>
    <row r="125" spans="1:39" s="10" customFormat="1" ht="17.100000000000001" customHeight="1" x14ac:dyDescent="0.3">
      <c r="A125" s="1083"/>
      <c r="B125" s="889"/>
      <c r="C125" s="889"/>
      <c r="D125" s="940">
        <v>41</v>
      </c>
      <c r="E125" s="33" t="s">
        <v>1031</v>
      </c>
      <c r="F125" s="272" t="s">
        <v>791</v>
      </c>
      <c r="G125" s="706">
        <v>10</v>
      </c>
      <c r="H125" s="704">
        <v>46246</v>
      </c>
      <c r="I125" s="34">
        <v>0.9</v>
      </c>
      <c r="J125" s="985"/>
      <c r="K125" s="346"/>
      <c r="L125" s="708"/>
      <c r="M125" s="944"/>
      <c r="N125" s="921"/>
      <c r="O125" s="921"/>
      <c r="P125" s="921"/>
      <c r="Q125" s="921"/>
      <c r="R125" s="896"/>
      <c r="S125" s="935"/>
      <c r="T125" s="921"/>
      <c r="U125" s="954"/>
      <c r="V125" s="921"/>
      <c r="W125" s="921"/>
      <c r="X125" s="1072"/>
      <c r="Y125" s="921"/>
      <c r="Z125" s="1033"/>
      <c r="AA125" s="879"/>
      <c r="AB125" s="879"/>
      <c r="AC125" s="882"/>
      <c r="AD125" s="60"/>
      <c r="AE125" s="80"/>
      <c r="AF125" s="61"/>
      <c r="AG125" s="9"/>
      <c r="AH125" s="928"/>
      <c r="AI125" s="915"/>
      <c r="AJ125" s="917"/>
      <c r="AK125" s="915"/>
      <c r="AL125" s="933"/>
      <c r="AM125" s="60"/>
    </row>
    <row r="126" spans="1:39" s="10" customFormat="1" ht="17.100000000000001" customHeight="1" x14ac:dyDescent="0.3">
      <c r="A126" s="1083"/>
      <c r="B126" s="889"/>
      <c r="C126" s="889"/>
      <c r="D126" s="1102">
        <v>47</v>
      </c>
      <c r="E126" s="712" t="s">
        <v>2</v>
      </c>
      <c r="F126" s="713" t="s">
        <v>13</v>
      </c>
      <c r="G126" s="711">
        <v>10</v>
      </c>
      <c r="H126" s="714">
        <v>46133</v>
      </c>
      <c r="I126" s="715">
        <v>0.3</v>
      </c>
      <c r="J126" s="985" t="s">
        <v>89</v>
      </c>
      <c r="K126" s="343"/>
      <c r="L126" s="709"/>
      <c r="M126" s="944"/>
      <c r="N126" s="873">
        <v>45805</v>
      </c>
      <c r="O126" s="873"/>
      <c r="P126" s="873">
        <v>46534</v>
      </c>
      <c r="Q126" s="873"/>
      <c r="R126" s="873" t="s">
        <v>902</v>
      </c>
      <c r="S126" s="940"/>
      <c r="T126" s="873">
        <v>45770</v>
      </c>
      <c r="U126" s="873"/>
      <c r="V126" s="873">
        <v>46499</v>
      </c>
      <c r="W126" s="873"/>
      <c r="X126" s="921"/>
      <c r="Y126" s="921"/>
      <c r="Z126" s="1033"/>
      <c r="AA126" s="879"/>
      <c r="AB126" s="879"/>
      <c r="AC126" s="882"/>
      <c r="AD126" s="58"/>
      <c r="AE126" s="79"/>
      <c r="AF126" s="59"/>
      <c r="AG126" s="9"/>
      <c r="AH126" s="928"/>
      <c r="AI126" s="915"/>
      <c r="AJ126" s="917"/>
      <c r="AK126" s="915"/>
      <c r="AL126" s="933"/>
      <c r="AM126" s="58"/>
    </row>
    <row r="127" spans="1:39" s="10" customFormat="1" ht="17.100000000000001" customHeight="1" x14ac:dyDescent="0.3">
      <c r="A127" s="1084"/>
      <c r="B127" s="890"/>
      <c r="C127" s="890"/>
      <c r="D127" s="941">
        <v>41</v>
      </c>
      <c r="E127" s="24" t="s">
        <v>116</v>
      </c>
      <c r="F127" s="242" t="s">
        <v>214</v>
      </c>
      <c r="G127" s="707">
        <v>10</v>
      </c>
      <c r="H127" s="705">
        <v>46133</v>
      </c>
      <c r="I127" s="17">
        <v>0.5</v>
      </c>
      <c r="J127" s="986" t="s">
        <v>9</v>
      </c>
      <c r="K127" s="344"/>
      <c r="L127" s="710"/>
      <c r="M127" s="945"/>
      <c r="N127" s="946"/>
      <c r="O127" s="946"/>
      <c r="P127" s="946"/>
      <c r="Q127" s="946"/>
      <c r="R127" s="946"/>
      <c r="S127" s="890"/>
      <c r="T127" s="946"/>
      <c r="U127" s="946"/>
      <c r="V127" s="946"/>
      <c r="W127" s="946"/>
      <c r="X127" s="946"/>
      <c r="Y127" s="946"/>
      <c r="Z127" s="1038"/>
      <c r="AA127" s="880"/>
      <c r="AB127" s="880"/>
      <c r="AC127" s="883"/>
      <c r="AD127" s="60"/>
      <c r="AE127" s="80"/>
      <c r="AF127" s="61"/>
      <c r="AG127" s="9"/>
      <c r="AH127" s="928"/>
      <c r="AI127" s="915"/>
      <c r="AJ127" s="918"/>
      <c r="AK127" s="915"/>
      <c r="AL127" s="933"/>
      <c r="AM127" s="60"/>
    </row>
    <row r="128" spans="1:39" s="10" customFormat="1" ht="17.100000000000001" customHeight="1" x14ac:dyDescent="0.3">
      <c r="A128" s="1092">
        <v>46387</v>
      </c>
      <c r="B128" s="913" t="s">
        <v>997</v>
      </c>
      <c r="C128" s="902" t="s">
        <v>710</v>
      </c>
      <c r="D128" s="902">
        <v>30</v>
      </c>
      <c r="E128" s="35" t="s">
        <v>456</v>
      </c>
      <c r="F128" s="221" t="s">
        <v>664</v>
      </c>
      <c r="G128" s="156">
        <v>10</v>
      </c>
      <c r="H128" s="152">
        <v>46287</v>
      </c>
      <c r="I128" s="36">
        <v>1</v>
      </c>
      <c r="J128" s="952" t="s">
        <v>347</v>
      </c>
      <c r="K128" s="341"/>
      <c r="L128" s="682"/>
      <c r="M128" s="943" t="s">
        <v>415</v>
      </c>
      <c r="N128" s="888">
        <v>44608</v>
      </c>
      <c r="O128" s="888">
        <v>46068</v>
      </c>
      <c r="P128" s="888">
        <v>46433</v>
      </c>
      <c r="Q128" s="888" t="s">
        <v>330</v>
      </c>
      <c r="R128" s="888"/>
      <c r="S128" s="981"/>
      <c r="T128" s="888">
        <v>44425</v>
      </c>
      <c r="U128" s="888">
        <v>45885</v>
      </c>
      <c r="V128" s="888">
        <v>46250</v>
      </c>
      <c r="W128" s="888" t="s">
        <v>483</v>
      </c>
      <c r="X128" s="902"/>
      <c r="Y128" s="959"/>
      <c r="Z128" s="897">
        <v>46076</v>
      </c>
      <c r="AA128" s="878" t="s">
        <v>391</v>
      </c>
      <c r="AB128" s="878" t="s">
        <v>394</v>
      </c>
      <c r="AC128" s="881">
        <v>1200000</v>
      </c>
      <c r="AD128" s="64"/>
      <c r="AE128" s="78"/>
      <c r="AF128" s="57"/>
      <c r="AG128" s="9" t="s">
        <v>137</v>
      </c>
      <c r="AH128" s="928" t="s">
        <v>160</v>
      </c>
      <c r="AI128" s="915" t="s">
        <v>166</v>
      </c>
      <c r="AJ128" s="916" t="s">
        <v>160</v>
      </c>
      <c r="AK128" s="915"/>
      <c r="AL128" s="933"/>
      <c r="AM128" s="64"/>
    </row>
    <row r="129" spans="1:39" s="10" customFormat="1" ht="17.100000000000001" customHeight="1" x14ac:dyDescent="0.3">
      <c r="A129" s="1093"/>
      <c r="B129" s="955"/>
      <c r="C129" s="927" t="s">
        <v>8</v>
      </c>
      <c r="D129" s="927">
        <v>30</v>
      </c>
      <c r="E129" s="20" t="s">
        <v>131</v>
      </c>
      <c r="F129" s="243" t="s">
        <v>215</v>
      </c>
      <c r="G129" s="146">
        <v>10</v>
      </c>
      <c r="H129" s="149">
        <v>46287</v>
      </c>
      <c r="I129" s="13">
        <v>0.96</v>
      </c>
      <c r="J129" s="966"/>
      <c r="K129" s="343"/>
      <c r="L129" s="683"/>
      <c r="M129" s="944"/>
      <c r="N129" s="921"/>
      <c r="O129" s="921"/>
      <c r="P129" s="921"/>
      <c r="Q129" s="921"/>
      <c r="R129" s="921"/>
      <c r="S129" s="927"/>
      <c r="T129" s="921"/>
      <c r="U129" s="921"/>
      <c r="V129" s="921"/>
      <c r="W129" s="921"/>
      <c r="X129" s="927"/>
      <c r="Y129" s="921"/>
      <c r="Z129" s="876"/>
      <c r="AA129" s="879"/>
      <c r="AB129" s="879"/>
      <c r="AC129" s="882"/>
      <c r="AD129" s="58"/>
      <c r="AE129" s="79"/>
      <c r="AF129" s="59"/>
      <c r="AG129" s="9"/>
      <c r="AH129" s="928"/>
      <c r="AI129" s="915"/>
      <c r="AJ129" s="917"/>
      <c r="AK129" s="915"/>
      <c r="AL129" s="933"/>
      <c r="AM129" s="58"/>
    </row>
    <row r="130" spans="1:39" s="10" customFormat="1" ht="17.100000000000001" customHeight="1" x14ac:dyDescent="0.3">
      <c r="A130" s="1093"/>
      <c r="B130" s="955"/>
      <c r="C130" s="601" t="s">
        <v>11</v>
      </c>
      <c r="D130" s="940">
        <v>30</v>
      </c>
      <c r="E130" s="33" t="s">
        <v>100</v>
      </c>
      <c r="F130" s="244">
        <v>0.21</v>
      </c>
      <c r="G130" s="601"/>
      <c r="H130" s="599">
        <v>45834</v>
      </c>
      <c r="I130" s="34" t="s">
        <v>800</v>
      </c>
      <c r="J130" s="966"/>
      <c r="K130" s="346"/>
      <c r="L130" s="708"/>
      <c r="M130" s="944"/>
      <c r="N130" s="921"/>
      <c r="O130" s="921"/>
      <c r="P130" s="921"/>
      <c r="Q130" s="921"/>
      <c r="R130" s="921"/>
      <c r="S130" s="940"/>
      <c r="T130" s="921"/>
      <c r="U130" s="921"/>
      <c r="V130" s="921"/>
      <c r="W130" s="921"/>
      <c r="X130" s="940"/>
      <c r="Y130" s="921"/>
      <c r="Z130" s="876"/>
      <c r="AA130" s="879"/>
      <c r="AB130" s="879"/>
      <c r="AC130" s="882"/>
      <c r="AD130" s="62"/>
      <c r="AE130" s="80"/>
      <c r="AF130" s="61"/>
      <c r="AG130" s="9"/>
      <c r="AH130" s="928"/>
      <c r="AI130" s="915"/>
      <c r="AJ130" s="918"/>
      <c r="AK130" s="915"/>
      <c r="AL130" s="933"/>
      <c r="AM130" s="60"/>
    </row>
    <row r="131" spans="1:39" s="10" customFormat="1" ht="17.100000000000001" customHeight="1" x14ac:dyDescent="0.3">
      <c r="A131" s="1093"/>
      <c r="B131" s="955"/>
      <c r="C131" s="940" t="s">
        <v>711</v>
      </c>
      <c r="D131" s="940">
        <v>3</v>
      </c>
      <c r="E131" s="20" t="s">
        <v>660</v>
      </c>
      <c r="F131" s="233" t="s">
        <v>665</v>
      </c>
      <c r="G131" s="600">
        <v>10</v>
      </c>
      <c r="H131" s="597">
        <v>46359</v>
      </c>
      <c r="I131" s="13">
        <v>1</v>
      </c>
      <c r="J131" s="966"/>
      <c r="K131" s="343"/>
      <c r="L131" s="756"/>
      <c r="M131" s="592"/>
      <c r="N131" s="873">
        <v>45631</v>
      </c>
      <c r="O131" s="873"/>
      <c r="P131" s="873">
        <v>46362</v>
      </c>
      <c r="Q131" s="873" t="s">
        <v>788</v>
      </c>
      <c r="R131" s="873"/>
      <c r="S131" s="940"/>
      <c r="T131" s="873">
        <v>45603</v>
      </c>
      <c r="U131" s="873"/>
      <c r="V131" s="873">
        <v>46332</v>
      </c>
      <c r="W131" s="873" t="s">
        <v>787</v>
      </c>
      <c r="X131" s="873"/>
      <c r="Y131" s="873"/>
      <c r="Z131" s="876"/>
      <c r="AA131" s="879"/>
      <c r="AB131" s="879"/>
      <c r="AC131" s="882"/>
      <c r="AD131" s="58" t="s">
        <v>662</v>
      </c>
      <c r="AE131" s="83"/>
      <c r="AF131" s="73"/>
      <c r="AG131" s="9"/>
      <c r="AH131" s="519"/>
      <c r="AI131" s="520"/>
      <c r="AJ131" s="518"/>
      <c r="AK131" s="520"/>
      <c r="AL131" s="521"/>
      <c r="AM131" s="522"/>
    </row>
    <row r="132" spans="1:39" s="10" customFormat="1" ht="17.100000000000001" customHeight="1" x14ac:dyDescent="0.3">
      <c r="A132" s="1094"/>
      <c r="B132" s="1085"/>
      <c r="C132" s="890"/>
      <c r="D132" s="890"/>
      <c r="E132" s="180" t="s">
        <v>297</v>
      </c>
      <c r="F132" s="242" t="s">
        <v>238</v>
      </c>
      <c r="G132" s="598">
        <v>10</v>
      </c>
      <c r="H132" s="596">
        <v>46359</v>
      </c>
      <c r="I132" s="605">
        <v>1</v>
      </c>
      <c r="J132" s="953"/>
      <c r="K132" s="753"/>
      <c r="L132" s="754"/>
      <c r="M132" s="602"/>
      <c r="N132" s="946"/>
      <c r="O132" s="946"/>
      <c r="P132" s="946"/>
      <c r="Q132" s="946"/>
      <c r="R132" s="946"/>
      <c r="S132" s="890"/>
      <c r="T132" s="946"/>
      <c r="U132" s="946"/>
      <c r="V132" s="946"/>
      <c r="W132" s="946"/>
      <c r="X132" s="946"/>
      <c r="Y132" s="946"/>
      <c r="Z132" s="877"/>
      <c r="AA132" s="880"/>
      <c r="AB132" s="880"/>
      <c r="AC132" s="883"/>
      <c r="AD132" s="603" t="s">
        <v>663</v>
      </c>
      <c r="AE132" s="83"/>
      <c r="AF132" s="73"/>
      <c r="AG132" s="9"/>
      <c r="AH132" s="519"/>
      <c r="AI132" s="520"/>
      <c r="AJ132" s="518"/>
      <c r="AK132" s="520"/>
      <c r="AL132" s="521"/>
      <c r="AM132" s="522"/>
    </row>
    <row r="133" spans="1:39" s="10" customFormat="1" ht="17.100000000000001" customHeight="1" x14ac:dyDescent="0.3">
      <c r="A133" s="1077">
        <v>46173</v>
      </c>
      <c r="B133" s="902" t="s">
        <v>41</v>
      </c>
      <c r="C133" s="889" t="s">
        <v>8</v>
      </c>
      <c r="D133" s="902">
        <v>1</v>
      </c>
      <c r="E133" s="35" t="s">
        <v>49</v>
      </c>
      <c r="F133" s="390" t="s">
        <v>216</v>
      </c>
      <c r="G133" s="517">
        <v>10</v>
      </c>
      <c r="H133" s="516">
        <v>46287</v>
      </c>
      <c r="I133" s="36">
        <v>0.85</v>
      </c>
      <c r="J133" s="1074" t="s">
        <v>347</v>
      </c>
      <c r="K133" s="341"/>
      <c r="L133" s="677"/>
      <c r="M133" s="944" t="s">
        <v>415</v>
      </c>
      <c r="N133" s="921">
        <v>44182</v>
      </c>
      <c r="O133" s="921">
        <v>46007</v>
      </c>
      <c r="P133" s="921">
        <v>46372</v>
      </c>
      <c r="Q133" s="921"/>
      <c r="R133" s="1100"/>
      <c r="S133" s="981"/>
      <c r="T133" s="888">
        <v>44340</v>
      </c>
      <c r="U133" s="888">
        <v>45800</v>
      </c>
      <c r="V133" s="888">
        <v>46165</v>
      </c>
      <c r="W133" s="888" t="s">
        <v>780</v>
      </c>
      <c r="X133" s="959" t="s">
        <v>927</v>
      </c>
      <c r="Y133" s="1042" t="s">
        <v>798</v>
      </c>
      <c r="Z133" s="1057">
        <v>46073</v>
      </c>
      <c r="AA133" s="879" t="s">
        <v>392</v>
      </c>
      <c r="AB133" s="879"/>
      <c r="AC133" s="882">
        <v>2010000</v>
      </c>
      <c r="AD133" s="64"/>
      <c r="AE133" s="78"/>
      <c r="AF133" s="57"/>
      <c r="AG133" s="9" t="s">
        <v>140</v>
      </c>
      <c r="AH133" s="928" t="s">
        <v>161</v>
      </c>
      <c r="AI133" s="915"/>
      <c r="AJ133" s="916" t="s">
        <v>161</v>
      </c>
      <c r="AK133" s="915"/>
      <c r="AL133" s="933"/>
      <c r="AM133" s="64"/>
    </row>
    <row r="134" spans="1:39" s="10" customFormat="1" ht="17.100000000000001" customHeight="1" x14ac:dyDescent="0.3">
      <c r="A134" s="937"/>
      <c r="B134" s="927" t="s">
        <v>41</v>
      </c>
      <c r="C134" s="902"/>
      <c r="D134" s="927">
        <v>1</v>
      </c>
      <c r="E134" s="26" t="s">
        <v>837</v>
      </c>
      <c r="F134" s="243" t="s">
        <v>838</v>
      </c>
      <c r="G134" s="146">
        <v>10</v>
      </c>
      <c r="H134" s="149">
        <v>46287</v>
      </c>
      <c r="I134" s="13">
        <v>0.21</v>
      </c>
      <c r="J134" s="985" t="s">
        <v>90</v>
      </c>
      <c r="K134" s="343"/>
      <c r="L134" s="678"/>
      <c r="M134" s="944"/>
      <c r="N134" s="921"/>
      <c r="O134" s="921"/>
      <c r="P134" s="921"/>
      <c r="Q134" s="921"/>
      <c r="R134" s="1100"/>
      <c r="S134" s="927"/>
      <c r="T134" s="921"/>
      <c r="U134" s="921"/>
      <c r="V134" s="921"/>
      <c r="W134" s="921"/>
      <c r="X134" s="921"/>
      <c r="Y134" s="927"/>
      <c r="Z134" s="876"/>
      <c r="AA134" s="879"/>
      <c r="AB134" s="879"/>
      <c r="AC134" s="882"/>
      <c r="AD134" s="58"/>
      <c r="AE134" s="79"/>
      <c r="AF134" s="59"/>
      <c r="AG134" s="9"/>
      <c r="AH134" s="928"/>
      <c r="AI134" s="915"/>
      <c r="AJ134" s="917"/>
      <c r="AK134" s="915"/>
      <c r="AL134" s="933"/>
      <c r="AM134" s="58"/>
    </row>
    <row r="135" spans="1:39" s="10" customFormat="1" ht="17.100000000000001" customHeight="1" x14ac:dyDescent="0.3">
      <c r="A135" s="937"/>
      <c r="B135" s="927" t="s">
        <v>41</v>
      </c>
      <c r="C135" s="940" t="s">
        <v>170</v>
      </c>
      <c r="D135" s="927">
        <v>1</v>
      </c>
      <c r="E135" s="172" t="s">
        <v>507</v>
      </c>
      <c r="F135" s="233">
        <v>0.02</v>
      </c>
      <c r="G135" s="146">
        <v>10</v>
      </c>
      <c r="H135" s="149">
        <v>45320</v>
      </c>
      <c r="I135" s="13">
        <v>0.7</v>
      </c>
      <c r="J135" s="985" t="s">
        <v>9</v>
      </c>
      <c r="K135" s="343"/>
      <c r="L135" s="678"/>
      <c r="M135" s="944"/>
      <c r="N135" s="921"/>
      <c r="O135" s="921"/>
      <c r="P135" s="921"/>
      <c r="Q135" s="921"/>
      <c r="R135" s="1100"/>
      <c r="S135" s="927"/>
      <c r="T135" s="921"/>
      <c r="U135" s="921"/>
      <c r="V135" s="921"/>
      <c r="W135" s="921"/>
      <c r="X135" s="921"/>
      <c r="Y135" s="927"/>
      <c r="Z135" s="876"/>
      <c r="AA135" s="879"/>
      <c r="AB135" s="879"/>
      <c r="AC135" s="882"/>
      <c r="AD135" s="58"/>
      <c r="AE135" s="79"/>
      <c r="AF135" s="59"/>
      <c r="AG135" s="9"/>
      <c r="AH135" s="928"/>
      <c r="AI135" s="915"/>
      <c r="AJ135" s="917"/>
      <c r="AK135" s="915"/>
      <c r="AL135" s="933"/>
      <c r="AM135" s="58"/>
    </row>
    <row r="136" spans="1:39" s="10" customFormat="1" ht="17.100000000000001" customHeight="1" x14ac:dyDescent="0.3">
      <c r="A136" s="937"/>
      <c r="B136" s="927" t="s">
        <v>41</v>
      </c>
      <c r="C136" s="951"/>
      <c r="D136" s="923">
        <v>1</v>
      </c>
      <c r="E136" s="185" t="s">
        <v>100</v>
      </c>
      <c r="F136" s="244">
        <v>0.21540000000000001</v>
      </c>
      <c r="G136" s="182">
        <v>10</v>
      </c>
      <c r="H136" s="183">
        <v>45320</v>
      </c>
      <c r="I136" s="184">
        <v>0.8</v>
      </c>
      <c r="J136" s="985" t="s">
        <v>9</v>
      </c>
      <c r="K136" s="343"/>
      <c r="L136" s="678"/>
      <c r="M136" s="944"/>
      <c r="N136" s="921"/>
      <c r="O136" s="921"/>
      <c r="P136" s="921"/>
      <c r="Q136" s="921"/>
      <c r="R136" s="1100"/>
      <c r="S136" s="927"/>
      <c r="T136" s="954"/>
      <c r="U136" s="954"/>
      <c r="V136" s="954"/>
      <c r="W136" s="954"/>
      <c r="X136" s="921"/>
      <c r="Y136" s="927"/>
      <c r="Z136" s="876"/>
      <c r="AA136" s="879"/>
      <c r="AB136" s="879"/>
      <c r="AC136" s="882"/>
      <c r="AD136" s="58"/>
      <c r="AE136" s="79"/>
      <c r="AF136" s="59"/>
      <c r="AG136" s="9"/>
      <c r="AH136" s="928"/>
      <c r="AI136" s="915"/>
      <c r="AJ136" s="917"/>
      <c r="AK136" s="915"/>
      <c r="AL136" s="933"/>
      <c r="AM136" s="58"/>
    </row>
    <row r="137" spans="1:39" s="10" customFormat="1" ht="17.100000000000001" customHeight="1" x14ac:dyDescent="0.3">
      <c r="A137" s="937"/>
      <c r="B137" s="927" t="s">
        <v>41</v>
      </c>
      <c r="C137" s="889" t="s">
        <v>8</v>
      </c>
      <c r="D137" s="902">
        <v>2</v>
      </c>
      <c r="E137" s="35" t="s">
        <v>797</v>
      </c>
      <c r="F137" s="388" t="s">
        <v>1</v>
      </c>
      <c r="G137" s="156">
        <v>10</v>
      </c>
      <c r="H137" s="152">
        <v>46287</v>
      </c>
      <c r="I137" s="36">
        <v>0.7</v>
      </c>
      <c r="J137" s="985" t="s">
        <v>9</v>
      </c>
      <c r="K137" s="343"/>
      <c r="L137" s="678"/>
      <c r="M137" s="944"/>
      <c r="N137" s="921"/>
      <c r="O137" s="921"/>
      <c r="P137" s="921"/>
      <c r="Q137" s="921"/>
      <c r="R137" s="1100"/>
      <c r="S137" s="927"/>
      <c r="T137" s="873">
        <v>43853</v>
      </c>
      <c r="U137" s="873">
        <v>46044</v>
      </c>
      <c r="V137" s="873">
        <v>46409</v>
      </c>
      <c r="W137" s="873" t="s">
        <v>720</v>
      </c>
      <c r="X137" s="921"/>
      <c r="Y137" s="1043" t="s">
        <v>798</v>
      </c>
      <c r="Z137" s="1034"/>
      <c r="AA137" s="879"/>
      <c r="AB137" s="879"/>
      <c r="AC137" s="882"/>
      <c r="AD137" s="58"/>
      <c r="AE137" s="79"/>
      <c r="AF137" s="59"/>
      <c r="AG137" s="9"/>
      <c r="AH137" s="928"/>
      <c r="AI137" s="915"/>
      <c r="AJ137" s="917"/>
      <c r="AK137" s="915"/>
      <c r="AL137" s="933"/>
      <c r="AM137" s="58"/>
    </row>
    <row r="138" spans="1:39" s="10" customFormat="1" ht="17.100000000000001" customHeight="1" x14ac:dyDescent="0.3">
      <c r="A138" s="937"/>
      <c r="B138" s="927" t="s">
        <v>41</v>
      </c>
      <c r="C138" s="902"/>
      <c r="D138" s="927">
        <v>2</v>
      </c>
      <c r="E138" s="26" t="s">
        <v>837</v>
      </c>
      <c r="F138" s="243" t="s">
        <v>251</v>
      </c>
      <c r="G138" s="146">
        <v>10</v>
      </c>
      <c r="H138" s="523">
        <v>46287</v>
      </c>
      <c r="I138" s="13">
        <v>0.75</v>
      </c>
      <c r="J138" s="985" t="s">
        <v>91</v>
      </c>
      <c r="K138" s="343"/>
      <c r="L138" s="678"/>
      <c r="M138" s="944"/>
      <c r="N138" s="921"/>
      <c r="O138" s="921"/>
      <c r="P138" s="921"/>
      <c r="Q138" s="921"/>
      <c r="R138" s="1100"/>
      <c r="S138" s="927"/>
      <c r="T138" s="921"/>
      <c r="U138" s="921"/>
      <c r="V138" s="921"/>
      <c r="W138" s="921"/>
      <c r="X138" s="921"/>
      <c r="Y138" s="927"/>
      <c r="Z138" s="876"/>
      <c r="AA138" s="879"/>
      <c r="AB138" s="879"/>
      <c r="AC138" s="882"/>
      <c r="AD138" s="58"/>
      <c r="AE138" s="79"/>
      <c r="AF138" s="59"/>
      <c r="AG138" s="9"/>
      <c r="AH138" s="928"/>
      <c r="AI138" s="915"/>
      <c r="AJ138" s="917"/>
      <c r="AK138" s="915"/>
      <c r="AL138" s="933"/>
      <c r="AM138" s="58"/>
    </row>
    <row r="139" spans="1:39" s="10" customFormat="1" ht="17.100000000000001" customHeight="1" x14ac:dyDescent="0.3">
      <c r="A139" s="937"/>
      <c r="B139" s="927" t="s">
        <v>41</v>
      </c>
      <c r="C139" s="940" t="s">
        <v>11</v>
      </c>
      <c r="D139" s="927">
        <v>2</v>
      </c>
      <c r="E139" s="11" t="s">
        <v>506</v>
      </c>
      <c r="F139" s="233">
        <v>2.01E-2</v>
      </c>
      <c r="G139" s="146">
        <v>10</v>
      </c>
      <c r="H139" s="149">
        <v>45320</v>
      </c>
      <c r="I139" s="13">
        <v>0.99</v>
      </c>
      <c r="J139" s="985" t="s">
        <v>9</v>
      </c>
      <c r="K139" s="343"/>
      <c r="L139" s="355"/>
      <c r="M139" s="944"/>
      <c r="N139" s="921"/>
      <c r="O139" s="921"/>
      <c r="P139" s="921"/>
      <c r="Q139" s="921"/>
      <c r="R139" s="1100"/>
      <c r="S139" s="927"/>
      <c r="T139" s="921"/>
      <c r="U139" s="921"/>
      <c r="V139" s="921"/>
      <c r="W139" s="921"/>
      <c r="X139" s="921"/>
      <c r="Y139" s="927"/>
      <c r="Z139" s="876"/>
      <c r="AA139" s="879"/>
      <c r="AB139" s="879"/>
      <c r="AC139" s="882"/>
      <c r="AD139" s="58"/>
      <c r="AE139" s="79"/>
      <c r="AF139" s="59"/>
      <c r="AG139" s="9"/>
      <c r="AH139" s="928"/>
      <c r="AI139" s="915"/>
      <c r="AJ139" s="917"/>
      <c r="AK139" s="915"/>
      <c r="AL139" s="933"/>
      <c r="AM139" s="58"/>
    </row>
    <row r="140" spans="1:39" s="10" customFormat="1" ht="17.100000000000001" customHeight="1" x14ac:dyDescent="0.3">
      <c r="A140" s="939"/>
      <c r="B140" s="941" t="s">
        <v>74</v>
      </c>
      <c r="C140" s="890"/>
      <c r="D140" s="941">
        <v>2</v>
      </c>
      <c r="E140" s="24" t="s">
        <v>100</v>
      </c>
      <c r="F140" s="237">
        <v>0.2155</v>
      </c>
      <c r="G140" s="147">
        <v>10</v>
      </c>
      <c r="H140" s="150">
        <v>45320</v>
      </c>
      <c r="I140" s="17">
        <v>1</v>
      </c>
      <c r="J140" s="986" t="s">
        <v>9</v>
      </c>
      <c r="K140" s="344"/>
      <c r="L140" s="356"/>
      <c r="M140" s="945"/>
      <c r="N140" s="946"/>
      <c r="O140" s="946"/>
      <c r="P140" s="946"/>
      <c r="Q140" s="946"/>
      <c r="R140" s="1101"/>
      <c r="S140" s="941"/>
      <c r="T140" s="946"/>
      <c r="U140" s="946"/>
      <c r="V140" s="946"/>
      <c r="W140" s="946"/>
      <c r="X140" s="946"/>
      <c r="Y140" s="941"/>
      <c r="Z140" s="877"/>
      <c r="AA140" s="880"/>
      <c r="AB140" s="880"/>
      <c r="AC140" s="883"/>
      <c r="AD140" s="60"/>
      <c r="AE140" s="80"/>
      <c r="AF140" s="61"/>
      <c r="AG140" s="9"/>
      <c r="AH140" s="928"/>
      <c r="AI140" s="915"/>
      <c r="AJ140" s="918"/>
      <c r="AK140" s="915"/>
      <c r="AL140" s="933"/>
      <c r="AM140" s="60"/>
    </row>
    <row r="141" spans="1:39" s="10" customFormat="1" ht="17.100000000000001" customHeight="1" x14ac:dyDescent="0.3">
      <c r="A141" s="1077">
        <v>46173</v>
      </c>
      <c r="B141" s="902" t="s">
        <v>75</v>
      </c>
      <c r="C141" s="902" t="s">
        <v>59</v>
      </c>
      <c r="D141" s="902">
        <v>1</v>
      </c>
      <c r="E141" s="35" t="s">
        <v>16</v>
      </c>
      <c r="F141" s="221" t="s">
        <v>217</v>
      </c>
      <c r="G141" s="156">
        <v>10</v>
      </c>
      <c r="H141" s="152"/>
      <c r="I141" s="36">
        <v>0.25</v>
      </c>
      <c r="J141" s="889" t="s">
        <v>129</v>
      </c>
      <c r="K141" s="971"/>
      <c r="L141" s="974"/>
      <c r="M141" s="948" t="s">
        <v>417</v>
      </c>
      <c r="N141" s="954">
        <v>42711</v>
      </c>
      <c r="O141" s="954">
        <v>45632</v>
      </c>
      <c r="P141" s="954">
        <v>45997</v>
      </c>
      <c r="Q141" s="888" t="s">
        <v>515</v>
      </c>
      <c r="R141" s="1099" t="s">
        <v>639</v>
      </c>
      <c r="S141" s="889" t="s">
        <v>332</v>
      </c>
      <c r="T141" s="954">
        <v>42611</v>
      </c>
      <c r="U141" s="954">
        <v>45897</v>
      </c>
      <c r="V141" s="954">
        <v>46262</v>
      </c>
      <c r="W141" s="954" t="s">
        <v>640</v>
      </c>
      <c r="X141" s="921"/>
      <c r="Y141" s="955" t="s">
        <v>813</v>
      </c>
      <c r="Z141" s="897">
        <v>46055</v>
      </c>
      <c r="AA141" s="878" t="s">
        <v>393</v>
      </c>
      <c r="AB141" s="878" t="s">
        <v>395</v>
      </c>
      <c r="AC141" s="881">
        <v>1350000</v>
      </c>
      <c r="AD141" s="64"/>
      <c r="AE141" s="78"/>
      <c r="AF141" s="57"/>
      <c r="AG141" s="9" t="s">
        <v>142</v>
      </c>
      <c r="AH141" s="1011" t="s">
        <v>167</v>
      </c>
      <c r="AI141" s="1015" t="s">
        <v>160</v>
      </c>
      <c r="AJ141" s="1007" t="s">
        <v>167</v>
      </c>
      <c r="AK141" s="1015"/>
      <c r="AL141" s="1006"/>
      <c r="AM141" s="64"/>
    </row>
    <row r="142" spans="1:39" s="10" customFormat="1" ht="17.100000000000001" customHeight="1" x14ac:dyDescent="0.3">
      <c r="A142" s="937"/>
      <c r="B142" s="927" t="s">
        <v>28</v>
      </c>
      <c r="C142" s="927" t="s">
        <v>70</v>
      </c>
      <c r="D142" s="927">
        <v>1</v>
      </c>
      <c r="E142" s="20" t="s">
        <v>308</v>
      </c>
      <c r="F142" s="243" t="s">
        <v>219</v>
      </c>
      <c r="G142" s="146">
        <v>10</v>
      </c>
      <c r="H142" s="149">
        <v>46288</v>
      </c>
      <c r="I142" s="13">
        <v>0.95</v>
      </c>
      <c r="J142" s="889"/>
      <c r="K142" s="972"/>
      <c r="L142" s="975"/>
      <c r="M142" s="949"/>
      <c r="N142" s="872"/>
      <c r="O142" s="872">
        <v>2022.11</v>
      </c>
      <c r="P142" s="872"/>
      <c r="Q142" s="921"/>
      <c r="R142" s="1066"/>
      <c r="S142" s="889"/>
      <c r="T142" s="872"/>
      <c r="U142" s="872"/>
      <c r="V142" s="872"/>
      <c r="W142" s="872"/>
      <c r="X142" s="921"/>
      <c r="Y142" s="889"/>
      <c r="Z142" s="876"/>
      <c r="AA142" s="879"/>
      <c r="AB142" s="879"/>
      <c r="AC142" s="882"/>
      <c r="AD142" s="58"/>
      <c r="AE142" s="79"/>
      <c r="AF142" s="59">
        <v>44581</v>
      </c>
      <c r="AG142" s="9"/>
      <c r="AH142" s="1011"/>
      <c r="AI142" s="1015"/>
      <c r="AJ142" s="1008"/>
      <c r="AK142" s="1015"/>
      <c r="AL142" s="1006"/>
      <c r="AM142" s="58"/>
    </row>
    <row r="143" spans="1:39" s="10" customFormat="1" ht="17.100000000000001" customHeight="1" x14ac:dyDescent="0.3">
      <c r="A143" s="937"/>
      <c r="B143" s="927" t="s">
        <v>28</v>
      </c>
      <c r="C143" s="927" t="s">
        <v>59</v>
      </c>
      <c r="D143" s="927">
        <v>1</v>
      </c>
      <c r="E143" s="20" t="s">
        <v>100</v>
      </c>
      <c r="F143" s="233">
        <v>0.20019999999999999</v>
      </c>
      <c r="G143" s="146">
        <v>10</v>
      </c>
      <c r="H143" s="149">
        <v>46029</v>
      </c>
      <c r="I143" s="13">
        <v>0.4</v>
      </c>
      <c r="J143" s="889"/>
      <c r="K143" s="972"/>
      <c r="L143" s="975"/>
      <c r="M143" s="949"/>
      <c r="N143" s="872"/>
      <c r="O143" s="872">
        <v>2022.11</v>
      </c>
      <c r="P143" s="872"/>
      <c r="Q143" s="921"/>
      <c r="R143" s="1066"/>
      <c r="S143" s="889"/>
      <c r="T143" s="872"/>
      <c r="U143" s="872"/>
      <c r="V143" s="872"/>
      <c r="W143" s="872"/>
      <c r="X143" s="921"/>
      <c r="Y143" s="889"/>
      <c r="Z143" s="1034"/>
      <c r="AA143" s="879"/>
      <c r="AB143" s="879"/>
      <c r="AC143" s="882"/>
      <c r="AD143" s="58"/>
      <c r="AE143" s="79"/>
      <c r="AF143" s="59">
        <v>44628</v>
      </c>
      <c r="AG143" s="9"/>
      <c r="AH143" s="1011"/>
      <c r="AI143" s="1015"/>
      <c r="AJ143" s="1008"/>
      <c r="AK143" s="1015"/>
      <c r="AL143" s="1006"/>
      <c r="AM143" s="58"/>
    </row>
    <row r="144" spans="1:39" s="10" customFormat="1" ht="17.100000000000001" customHeight="1" x14ac:dyDescent="0.3">
      <c r="A144" s="939"/>
      <c r="B144" s="941" t="s">
        <v>75</v>
      </c>
      <c r="C144" s="941" t="s">
        <v>8</v>
      </c>
      <c r="D144" s="941">
        <v>1</v>
      </c>
      <c r="E144" s="24" t="s">
        <v>190</v>
      </c>
      <c r="F144" s="243" t="s">
        <v>218</v>
      </c>
      <c r="G144" s="147">
        <v>10</v>
      </c>
      <c r="H144" s="150">
        <v>46084</v>
      </c>
      <c r="I144" s="17">
        <v>0.8</v>
      </c>
      <c r="J144" s="890"/>
      <c r="K144" s="973"/>
      <c r="L144" s="976"/>
      <c r="M144" s="950"/>
      <c r="N144" s="874"/>
      <c r="O144" s="874">
        <v>2022.11</v>
      </c>
      <c r="P144" s="874"/>
      <c r="Q144" s="946"/>
      <c r="R144" s="1067"/>
      <c r="S144" s="890"/>
      <c r="T144" s="874"/>
      <c r="U144" s="874"/>
      <c r="V144" s="874"/>
      <c r="W144" s="874"/>
      <c r="X144" s="946"/>
      <c r="Y144" s="890"/>
      <c r="Z144" s="877"/>
      <c r="AA144" s="880"/>
      <c r="AB144" s="880"/>
      <c r="AC144" s="883"/>
      <c r="AD144" s="60"/>
      <c r="AE144" s="80"/>
      <c r="AF144" s="61">
        <v>44628</v>
      </c>
      <c r="AG144" s="9"/>
      <c r="AH144" s="1011"/>
      <c r="AI144" s="1015"/>
      <c r="AJ144" s="1009"/>
      <c r="AK144" s="1015"/>
      <c r="AL144" s="1006"/>
      <c r="AM144" s="60"/>
    </row>
    <row r="145" spans="1:39" ht="16.5" customHeight="1" x14ac:dyDescent="0.3">
      <c r="A145" s="1079">
        <v>46418</v>
      </c>
      <c r="B145" s="955" t="s">
        <v>1023</v>
      </c>
      <c r="C145" s="889" t="s">
        <v>125</v>
      </c>
      <c r="D145" s="891">
        <v>7</v>
      </c>
      <c r="E145" s="5" t="s">
        <v>113</v>
      </c>
      <c r="F145" s="224" t="s">
        <v>50</v>
      </c>
      <c r="G145" s="145">
        <v>10</v>
      </c>
      <c r="H145" s="148">
        <v>46106</v>
      </c>
      <c r="I145" s="7">
        <v>0.93</v>
      </c>
      <c r="J145" s="1086" t="s">
        <v>349</v>
      </c>
      <c r="K145" s="698" t="s">
        <v>936</v>
      </c>
      <c r="L145" s="699">
        <v>46094</v>
      </c>
      <c r="M145" s="968" t="s">
        <v>420</v>
      </c>
      <c r="N145" s="888">
        <v>44523</v>
      </c>
      <c r="O145" s="888">
        <v>45983</v>
      </c>
      <c r="P145" s="888">
        <v>46348</v>
      </c>
      <c r="Q145" s="888" t="s">
        <v>516</v>
      </c>
      <c r="R145" s="1099" t="s">
        <v>638</v>
      </c>
      <c r="S145" s="955"/>
      <c r="T145" s="888">
        <v>44469</v>
      </c>
      <c r="U145" s="888">
        <v>45929</v>
      </c>
      <c r="V145" s="888">
        <v>46294</v>
      </c>
      <c r="W145" s="888" t="s">
        <v>517</v>
      </c>
      <c r="X145" s="888"/>
      <c r="Y145" s="888"/>
      <c r="Z145" s="897">
        <v>46078</v>
      </c>
      <c r="AA145" s="878" t="s">
        <v>387</v>
      </c>
      <c r="AB145" s="878" t="s">
        <v>396</v>
      </c>
      <c r="AC145" s="881">
        <v>1500000</v>
      </c>
      <c r="AD145" s="1234" t="s">
        <v>1021</v>
      </c>
      <c r="AE145" s="78"/>
      <c r="AF145" s="57">
        <v>44715</v>
      </c>
      <c r="AG145" s="38" t="s">
        <v>136</v>
      </c>
      <c r="AH145" s="1024" t="s">
        <v>160</v>
      </c>
      <c r="AI145" s="1025" t="s">
        <v>166</v>
      </c>
      <c r="AJ145" s="1021" t="s">
        <v>161</v>
      </c>
      <c r="AK145" s="1025"/>
      <c r="AL145" s="1010"/>
      <c r="AM145" s="64"/>
    </row>
    <row r="146" spans="1:39" ht="17.100000000000001" customHeight="1" x14ac:dyDescent="0.3">
      <c r="A146" s="1080"/>
      <c r="B146" s="889"/>
      <c r="C146" s="889"/>
      <c r="D146" s="889"/>
      <c r="E146" s="11" t="s">
        <v>114</v>
      </c>
      <c r="F146" s="243" t="s">
        <v>220</v>
      </c>
      <c r="G146" s="146">
        <v>10</v>
      </c>
      <c r="H146" s="149">
        <v>46106</v>
      </c>
      <c r="I146" s="13">
        <v>0.83</v>
      </c>
      <c r="J146" s="889"/>
      <c r="K146" s="614" t="s">
        <v>937</v>
      </c>
      <c r="L146" s="615">
        <v>46094</v>
      </c>
      <c r="M146" s="970"/>
      <c r="N146" s="921"/>
      <c r="O146" s="921"/>
      <c r="P146" s="921"/>
      <c r="Q146" s="921"/>
      <c r="R146" s="1066"/>
      <c r="S146" s="889"/>
      <c r="T146" s="921"/>
      <c r="U146" s="921"/>
      <c r="V146" s="921"/>
      <c r="W146" s="921"/>
      <c r="X146" s="921"/>
      <c r="Y146" s="921"/>
      <c r="Z146" s="876"/>
      <c r="AA146" s="879"/>
      <c r="AB146" s="879"/>
      <c r="AC146" s="882"/>
      <c r="AD146" s="1235"/>
      <c r="AE146" s="84"/>
      <c r="AF146" s="57">
        <v>44715</v>
      </c>
      <c r="AG146" s="38"/>
      <c r="AH146" s="1024"/>
      <c r="AI146" s="1025"/>
      <c r="AJ146" s="1022"/>
      <c r="AK146" s="1025"/>
      <c r="AL146" s="1010"/>
      <c r="AM146" s="58"/>
    </row>
    <row r="147" spans="1:39" ht="17.100000000000001" customHeight="1" x14ac:dyDescent="0.3">
      <c r="A147" s="1080"/>
      <c r="B147" s="889"/>
      <c r="C147" s="889"/>
      <c r="D147" s="889"/>
      <c r="E147" s="11" t="s">
        <v>3</v>
      </c>
      <c r="F147" s="233">
        <v>1.9800000000000002E-2</v>
      </c>
      <c r="G147" s="146">
        <v>10</v>
      </c>
      <c r="H147" s="149">
        <v>46106</v>
      </c>
      <c r="I147" s="13">
        <v>0.8</v>
      </c>
      <c r="J147" s="889"/>
      <c r="K147" s="614" t="s">
        <v>937</v>
      </c>
      <c r="L147" s="615">
        <v>46094</v>
      </c>
      <c r="M147" s="970"/>
      <c r="N147" s="921"/>
      <c r="O147" s="921"/>
      <c r="P147" s="921"/>
      <c r="Q147" s="921"/>
      <c r="R147" s="1066"/>
      <c r="S147" s="889"/>
      <c r="T147" s="921"/>
      <c r="U147" s="921"/>
      <c r="V147" s="921"/>
      <c r="W147" s="921"/>
      <c r="X147" s="921"/>
      <c r="Y147" s="921"/>
      <c r="Z147" s="876"/>
      <c r="AA147" s="879"/>
      <c r="AB147" s="879"/>
      <c r="AC147" s="882"/>
      <c r="AD147" s="1236"/>
      <c r="AE147" s="84"/>
      <c r="AF147" s="57">
        <v>44715</v>
      </c>
      <c r="AG147" s="38"/>
      <c r="AH147" s="1024"/>
      <c r="AI147" s="1025"/>
      <c r="AJ147" s="1022"/>
      <c r="AK147" s="1025"/>
      <c r="AL147" s="1010"/>
      <c r="AM147" s="58"/>
    </row>
    <row r="148" spans="1:39" ht="17.100000000000001" customHeight="1" x14ac:dyDescent="0.3">
      <c r="A148" s="1080"/>
      <c r="B148" s="889"/>
      <c r="C148" s="889"/>
      <c r="D148" s="951"/>
      <c r="E148" s="185" t="s">
        <v>100</v>
      </c>
      <c r="F148" s="244">
        <v>0.21299999999999999</v>
      </c>
      <c r="G148" s="182">
        <v>10</v>
      </c>
      <c r="H148" s="457">
        <v>46379</v>
      </c>
      <c r="I148" s="184">
        <v>1</v>
      </c>
      <c r="J148" s="889"/>
      <c r="K148" s="343"/>
      <c r="L148" s="795"/>
      <c r="M148" s="970"/>
      <c r="N148" s="921"/>
      <c r="O148" s="921"/>
      <c r="P148" s="921"/>
      <c r="Q148" s="921"/>
      <c r="R148" s="1066"/>
      <c r="S148" s="889"/>
      <c r="T148" s="921"/>
      <c r="U148" s="921"/>
      <c r="V148" s="921"/>
      <c r="W148" s="921"/>
      <c r="X148" s="921"/>
      <c r="Y148" s="921"/>
      <c r="Z148" s="876"/>
      <c r="AA148" s="879"/>
      <c r="AB148" s="879"/>
      <c r="AC148" s="882"/>
      <c r="AD148" s="830" t="s">
        <v>1022</v>
      </c>
      <c r="AE148" s="84"/>
      <c r="AF148" s="57">
        <v>44715</v>
      </c>
      <c r="AG148" s="38"/>
      <c r="AH148" s="1024"/>
      <c r="AI148" s="1025"/>
      <c r="AJ148" s="1022"/>
      <c r="AK148" s="1025"/>
      <c r="AL148" s="1010"/>
      <c r="AM148" s="58"/>
    </row>
    <row r="149" spans="1:39" ht="17.100000000000001" customHeight="1" x14ac:dyDescent="0.3">
      <c r="A149" s="1080"/>
      <c r="B149" s="889"/>
      <c r="C149" s="889"/>
      <c r="D149" s="889">
        <v>8</v>
      </c>
      <c r="E149" s="91" t="s">
        <v>113</v>
      </c>
      <c r="F149" s="246" t="s">
        <v>1</v>
      </c>
      <c r="G149" s="156">
        <v>10</v>
      </c>
      <c r="H149" s="293">
        <v>46106</v>
      </c>
      <c r="I149" s="36">
        <v>0.95</v>
      </c>
      <c r="J149" s="889"/>
      <c r="K149" s="614" t="s">
        <v>1018</v>
      </c>
      <c r="L149" s="615">
        <v>46094</v>
      </c>
      <c r="M149" s="970"/>
      <c r="N149" s="921"/>
      <c r="O149" s="921"/>
      <c r="P149" s="921"/>
      <c r="Q149" s="921"/>
      <c r="R149" s="1066"/>
      <c r="S149" s="889"/>
      <c r="T149" s="921"/>
      <c r="U149" s="921"/>
      <c r="V149" s="921"/>
      <c r="W149" s="921"/>
      <c r="X149" s="921"/>
      <c r="Y149" s="921"/>
      <c r="Z149" s="876"/>
      <c r="AA149" s="879"/>
      <c r="AB149" s="879"/>
      <c r="AC149" s="882"/>
      <c r="AD149" s="58"/>
      <c r="AE149" s="84"/>
      <c r="AF149" s="57">
        <v>44715</v>
      </c>
      <c r="AG149" s="38"/>
      <c r="AH149" s="1024"/>
      <c r="AI149" s="1025"/>
      <c r="AJ149" s="1022"/>
      <c r="AK149" s="1025"/>
      <c r="AL149" s="1010"/>
      <c r="AM149" s="58"/>
    </row>
    <row r="150" spans="1:39" ht="17.100000000000001" customHeight="1" x14ac:dyDescent="0.3">
      <c r="A150" s="1080"/>
      <c r="B150" s="889"/>
      <c r="C150" s="889"/>
      <c r="D150" s="889"/>
      <c r="E150" s="11" t="s">
        <v>114</v>
      </c>
      <c r="F150" s="243" t="s">
        <v>221</v>
      </c>
      <c r="G150" s="146">
        <v>10</v>
      </c>
      <c r="H150" s="289">
        <v>46106</v>
      </c>
      <c r="I150" s="13">
        <v>0.79</v>
      </c>
      <c r="J150" s="889"/>
      <c r="K150" s="614" t="s">
        <v>937</v>
      </c>
      <c r="L150" s="615">
        <v>46094</v>
      </c>
      <c r="M150" s="970"/>
      <c r="N150" s="921"/>
      <c r="O150" s="921"/>
      <c r="P150" s="921"/>
      <c r="Q150" s="921"/>
      <c r="R150" s="1066"/>
      <c r="S150" s="889"/>
      <c r="T150" s="921"/>
      <c r="U150" s="921"/>
      <c r="V150" s="921"/>
      <c r="W150" s="921"/>
      <c r="X150" s="921"/>
      <c r="Y150" s="921"/>
      <c r="Z150" s="876"/>
      <c r="AA150" s="879"/>
      <c r="AB150" s="879"/>
      <c r="AC150" s="882"/>
      <c r="AD150" s="58"/>
      <c r="AE150" s="84"/>
      <c r="AF150" s="57">
        <v>44715</v>
      </c>
      <c r="AG150" s="38"/>
      <c r="AH150" s="1024"/>
      <c r="AI150" s="1025"/>
      <c r="AJ150" s="1022"/>
      <c r="AK150" s="1025"/>
      <c r="AL150" s="1010"/>
      <c r="AM150" s="58"/>
    </row>
    <row r="151" spans="1:39" ht="17.100000000000001" customHeight="1" x14ac:dyDescent="0.3">
      <c r="A151" s="1080"/>
      <c r="B151" s="889"/>
      <c r="C151" s="889"/>
      <c r="D151" s="889"/>
      <c r="E151" s="11" t="s">
        <v>3</v>
      </c>
      <c r="F151" s="233">
        <v>1.9800000000000002E-2</v>
      </c>
      <c r="G151" s="146">
        <v>10</v>
      </c>
      <c r="H151" s="289">
        <v>46106</v>
      </c>
      <c r="I151" s="13">
        <v>0.8</v>
      </c>
      <c r="J151" s="889"/>
      <c r="K151" s="614" t="s">
        <v>938</v>
      </c>
      <c r="L151" s="615">
        <v>46094</v>
      </c>
      <c r="M151" s="970"/>
      <c r="N151" s="921"/>
      <c r="O151" s="921"/>
      <c r="P151" s="921"/>
      <c r="Q151" s="921"/>
      <c r="R151" s="1066"/>
      <c r="S151" s="889"/>
      <c r="T151" s="921"/>
      <c r="U151" s="921"/>
      <c r="V151" s="921"/>
      <c r="W151" s="921"/>
      <c r="X151" s="921"/>
      <c r="Y151" s="921"/>
      <c r="Z151" s="876"/>
      <c r="AA151" s="879"/>
      <c r="AB151" s="879"/>
      <c r="AC151" s="882"/>
      <c r="AD151" s="58"/>
      <c r="AE151" s="84"/>
      <c r="AF151" s="57">
        <v>44715</v>
      </c>
      <c r="AG151" s="38"/>
      <c r="AH151" s="1024"/>
      <c r="AI151" s="1025"/>
      <c r="AJ151" s="1022"/>
      <c r="AK151" s="1025"/>
      <c r="AL151" s="1010"/>
      <c r="AM151" s="58"/>
    </row>
    <row r="152" spans="1:39" ht="17.100000000000001" customHeight="1" x14ac:dyDescent="0.3">
      <c r="A152" s="1081"/>
      <c r="B152" s="890"/>
      <c r="C152" s="890"/>
      <c r="D152" s="890"/>
      <c r="E152" s="24" t="s">
        <v>100</v>
      </c>
      <c r="F152" s="237">
        <v>0.21060000000000001</v>
      </c>
      <c r="G152" s="147">
        <v>10</v>
      </c>
      <c r="H152" s="150">
        <v>46106</v>
      </c>
      <c r="I152" s="17">
        <v>0.5</v>
      </c>
      <c r="J152" s="890"/>
      <c r="K152" s="614" t="s">
        <v>937</v>
      </c>
      <c r="L152" s="615">
        <v>46094</v>
      </c>
      <c r="M152" s="969"/>
      <c r="N152" s="946"/>
      <c r="O152" s="946"/>
      <c r="P152" s="946"/>
      <c r="Q152" s="946"/>
      <c r="R152" s="1067"/>
      <c r="S152" s="890"/>
      <c r="T152" s="946"/>
      <c r="U152" s="946"/>
      <c r="V152" s="946"/>
      <c r="W152" s="946"/>
      <c r="X152" s="946"/>
      <c r="Y152" s="946"/>
      <c r="Z152" s="877"/>
      <c r="AA152" s="880"/>
      <c r="AB152" s="880"/>
      <c r="AC152" s="883"/>
      <c r="AD152" s="60"/>
      <c r="AE152" s="85"/>
      <c r="AF152" s="57">
        <v>44715</v>
      </c>
      <c r="AG152" s="38"/>
      <c r="AH152" s="1024"/>
      <c r="AI152" s="1025"/>
      <c r="AJ152" s="1023"/>
      <c r="AK152" s="1025"/>
      <c r="AL152" s="1010"/>
      <c r="AM152" s="60"/>
    </row>
    <row r="153" spans="1:39" s="10" customFormat="1" ht="17.100000000000001" customHeight="1" x14ac:dyDescent="0.3">
      <c r="A153" s="1077">
        <v>46661</v>
      </c>
      <c r="B153" s="981" t="s">
        <v>875</v>
      </c>
      <c r="C153" s="889" t="s">
        <v>8</v>
      </c>
      <c r="D153" s="926">
        <v>1</v>
      </c>
      <c r="E153" s="19" t="s">
        <v>55</v>
      </c>
      <c r="F153" s="224" t="s">
        <v>117</v>
      </c>
      <c r="G153" s="145"/>
      <c r="H153" s="148">
        <v>45136</v>
      </c>
      <c r="I153" s="7">
        <v>1</v>
      </c>
      <c r="J153" s="994" t="s">
        <v>10</v>
      </c>
      <c r="K153" s="971"/>
      <c r="L153" s="974"/>
      <c r="M153" s="943" t="s">
        <v>408</v>
      </c>
      <c r="N153" s="954">
        <v>43707</v>
      </c>
      <c r="O153" s="954">
        <v>45897</v>
      </c>
      <c r="P153" s="954">
        <v>46262</v>
      </c>
      <c r="Q153" s="888" t="s">
        <v>325</v>
      </c>
      <c r="R153" s="1065" t="s">
        <v>520</v>
      </c>
      <c r="S153" s="994" t="s">
        <v>333</v>
      </c>
      <c r="T153" s="954">
        <v>43717</v>
      </c>
      <c r="U153" s="954">
        <v>45908</v>
      </c>
      <c r="V153" s="954">
        <v>46273</v>
      </c>
      <c r="W153" s="954" t="s">
        <v>325</v>
      </c>
      <c r="X153" s="1065" t="s">
        <v>519</v>
      </c>
      <c r="Y153" s="1042" t="s">
        <v>368</v>
      </c>
      <c r="Z153" s="897"/>
      <c r="AA153" s="878" t="s">
        <v>384</v>
      </c>
      <c r="AB153" s="878" t="s">
        <v>396</v>
      </c>
      <c r="AC153" s="881">
        <f>18000000/12</f>
        <v>1500000</v>
      </c>
      <c r="AD153" s="64" t="s">
        <v>486</v>
      </c>
      <c r="AE153" s="78"/>
      <c r="AF153" s="57"/>
      <c r="AG153" s="9" t="s">
        <v>144</v>
      </c>
      <c r="AH153" s="928"/>
      <c r="AI153" s="915"/>
      <c r="AJ153" s="916"/>
      <c r="AK153" s="915"/>
      <c r="AL153" s="933" t="s">
        <v>172</v>
      </c>
      <c r="AM153" s="64"/>
    </row>
    <row r="154" spans="1:39" s="10" customFormat="1" ht="17.100000000000001" customHeight="1" x14ac:dyDescent="0.3">
      <c r="A154" s="937"/>
      <c r="B154" s="927" t="s">
        <v>47</v>
      </c>
      <c r="C154" s="889"/>
      <c r="D154" s="927">
        <v>1</v>
      </c>
      <c r="E154" s="20" t="s">
        <v>105</v>
      </c>
      <c r="F154" s="243" t="s">
        <v>222</v>
      </c>
      <c r="G154" s="146"/>
      <c r="H154" s="149">
        <v>45196</v>
      </c>
      <c r="I154" s="13">
        <v>0.98</v>
      </c>
      <c r="J154" s="995" t="s">
        <v>92</v>
      </c>
      <c r="K154" s="972"/>
      <c r="L154" s="975"/>
      <c r="M154" s="944"/>
      <c r="N154" s="872"/>
      <c r="O154" s="872">
        <v>2023.08</v>
      </c>
      <c r="P154" s="872"/>
      <c r="Q154" s="921"/>
      <c r="R154" s="1066"/>
      <c r="S154" s="995"/>
      <c r="T154" s="872"/>
      <c r="U154" s="872"/>
      <c r="V154" s="872"/>
      <c r="W154" s="872"/>
      <c r="X154" s="1066"/>
      <c r="Y154" s="872"/>
      <c r="Z154" s="876"/>
      <c r="AA154" s="879"/>
      <c r="AB154" s="879"/>
      <c r="AC154" s="882"/>
      <c r="AD154" s="58"/>
      <c r="AE154" s="79"/>
      <c r="AF154" s="59"/>
      <c r="AG154" s="9"/>
      <c r="AH154" s="928"/>
      <c r="AI154" s="915"/>
      <c r="AJ154" s="917"/>
      <c r="AK154" s="915"/>
      <c r="AL154" s="933"/>
      <c r="AM154" s="58"/>
    </row>
    <row r="155" spans="1:39" s="10" customFormat="1" ht="17.100000000000001" customHeight="1" x14ac:dyDescent="0.3">
      <c r="A155" s="937"/>
      <c r="B155" s="927" t="s">
        <v>76</v>
      </c>
      <c r="C155" s="889"/>
      <c r="D155" s="927">
        <v>1</v>
      </c>
      <c r="E155" s="11" t="s">
        <v>51</v>
      </c>
      <c r="F155" s="233">
        <v>0.02</v>
      </c>
      <c r="G155" s="146"/>
      <c r="H155" s="149">
        <v>45320</v>
      </c>
      <c r="I155" s="13">
        <v>1</v>
      </c>
      <c r="J155" s="995" t="s">
        <v>92</v>
      </c>
      <c r="K155" s="972"/>
      <c r="L155" s="975"/>
      <c r="M155" s="944"/>
      <c r="N155" s="872"/>
      <c r="O155" s="872">
        <v>2023.08</v>
      </c>
      <c r="P155" s="872"/>
      <c r="Q155" s="921"/>
      <c r="R155" s="1066"/>
      <c r="S155" s="995"/>
      <c r="T155" s="872"/>
      <c r="U155" s="872"/>
      <c r="V155" s="872"/>
      <c r="W155" s="872"/>
      <c r="X155" s="1066"/>
      <c r="Y155" s="872"/>
      <c r="Z155" s="876"/>
      <c r="AA155" s="879"/>
      <c r="AB155" s="879"/>
      <c r="AC155" s="882"/>
      <c r="AD155" s="58"/>
      <c r="AE155" s="79"/>
      <c r="AF155" s="59">
        <v>44693</v>
      </c>
      <c r="AG155" s="9"/>
      <c r="AH155" s="928"/>
      <c r="AI155" s="915"/>
      <c r="AJ155" s="917"/>
      <c r="AK155" s="915"/>
      <c r="AL155" s="933"/>
      <c r="AM155" s="58"/>
    </row>
    <row r="156" spans="1:39" s="10" customFormat="1" ht="17.100000000000001" customHeight="1" x14ac:dyDescent="0.3">
      <c r="A156" s="937"/>
      <c r="B156" s="927" t="s">
        <v>47</v>
      </c>
      <c r="C156" s="889"/>
      <c r="D156" s="923">
        <v>1</v>
      </c>
      <c r="E156" s="185" t="s">
        <v>100</v>
      </c>
      <c r="F156" s="234">
        <v>0.20100000000000001</v>
      </c>
      <c r="G156" s="182"/>
      <c r="H156" s="183">
        <v>45320</v>
      </c>
      <c r="I156" s="184">
        <v>1</v>
      </c>
      <c r="J156" s="995" t="s">
        <v>88</v>
      </c>
      <c r="K156" s="972"/>
      <c r="L156" s="975"/>
      <c r="M156" s="944"/>
      <c r="N156" s="872"/>
      <c r="O156" s="872">
        <v>2023.08</v>
      </c>
      <c r="P156" s="872"/>
      <c r="Q156" s="921"/>
      <c r="R156" s="1066"/>
      <c r="S156" s="995"/>
      <c r="T156" s="872"/>
      <c r="U156" s="872"/>
      <c r="V156" s="872"/>
      <c r="W156" s="872"/>
      <c r="X156" s="1066"/>
      <c r="Y156" s="872"/>
      <c r="Z156" s="876"/>
      <c r="AA156" s="879"/>
      <c r="AB156" s="879"/>
      <c r="AC156" s="882"/>
      <c r="AD156" s="58"/>
      <c r="AE156" s="79"/>
      <c r="AF156" s="59">
        <v>44693</v>
      </c>
      <c r="AG156" s="9"/>
      <c r="AH156" s="928"/>
      <c r="AI156" s="915"/>
      <c r="AJ156" s="917"/>
      <c r="AK156" s="915"/>
      <c r="AL156" s="933"/>
      <c r="AM156" s="58"/>
    </row>
    <row r="157" spans="1:39" s="10" customFormat="1" ht="17.100000000000001" customHeight="1" x14ac:dyDescent="0.3">
      <c r="A157" s="937"/>
      <c r="B157" s="927" t="s">
        <v>47</v>
      </c>
      <c r="C157" s="889"/>
      <c r="D157" s="902">
        <v>2</v>
      </c>
      <c r="E157" s="35" t="s">
        <v>49</v>
      </c>
      <c r="F157" s="213" t="s">
        <v>50</v>
      </c>
      <c r="G157" s="156"/>
      <c r="H157" s="152">
        <v>45196</v>
      </c>
      <c r="I157" s="36">
        <v>1</v>
      </c>
      <c r="J157" s="995" t="s">
        <v>10</v>
      </c>
      <c r="K157" s="972"/>
      <c r="L157" s="975"/>
      <c r="M157" s="944"/>
      <c r="N157" s="872"/>
      <c r="O157" s="872">
        <v>2023.08</v>
      </c>
      <c r="P157" s="872"/>
      <c r="Q157" s="921"/>
      <c r="R157" s="1066"/>
      <c r="S157" s="995"/>
      <c r="T157" s="872"/>
      <c r="U157" s="872"/>
      <c r="V157" s="872"/>
      <c r="W157" s="872"/>
      <c r="X157" s="1066"/>
      <c r="Y157" s="872"/>
      <c r="Z157" s="876"/>
      <c r="AA157" s="879"/>
      <c r="AB157" s="879"/>
      <c r="AC157" s="882"/>
      <c r="AD157" s="58"/>
      <c r="AE157" s="79"/>
      <c r="AF157" s="59"/>
      <c r="AG157" s="9"/>
      <c r="AH157" s="928"/>
      <c r="AI157" s="915"/>
      <c r="AJ157" s="917"/>
      <c r="AK157" s="915"/>
      <c r="AL157" s="933"/>
      <c r="AM157" s="58"/>
    </row>
    <row r="158" spans="1:39" s="10" customFormat="1" ht="17.100000000000001" customHeight="1" x14ac:dyDescent="0.3">
      <c r="A158" s="937"/>
      <c r="B158" s="927" t="s">
        <v>47</v>
      </c>
      <c r="C158" s="889"/>
      <c r="D158" s="927">
        <v>2</v>
      </c>
      <c r="E158" s="20" t="s">
        <v>105</v>
      </c>
      <c r="F158" s="243" t="s">
        <v>222</v>
      </c>
      <c r="G158" s="146"/>
      <c r="H158" s="149">
        <v>45136</v>
      </c>
      <c r="I158" s="13">
        <v>1</v>
      </c>
      <c r="J158" s="995" t="s">
        <v>10</v>
      </c>
      <c r="K158" s="972"/>
      <c r="L158" s="975"/>
      <c r="M158" s="944"/>
      <c r="N158" s="872"/>
      <c r="O158" s="872">
        <v>2023.08</v>
      </c>
      <c r="P158" s="872"/>
      <c r="Q158" s="921"/>
      <c r="R158" s="1066"/>
      <c r="S158" s="995"/>
      <c r="T158" s="872"/>
      <c r="U158" s="872"/>
      <c r="V158" s="872"/>
      <c r="W158" s="872"/>
      <c r="X158" s="1066"/>
      <c r="Y158" s="872"/>
      <c r="Z158" s="876"/>
      <c r="AA158" s="879"/>
      <c r="AB158" s="879"/>
      <c r="AC158" s="882"/>
      <c r="AD158" s="58"/>
      <c r="AE158" s="79"/>
      <c r="AF158" s="59"/>
      <c r="AG158" s="9"/>
      <c r="AH158" s="928"/>
      <c r="AI158" s="915"/>
      <c r="AJ158" s="917"/>
      <c r="AK158" s="915"/>
      <c r="AL158" s="933"/>
      <c r="AM158" s="58"/>
    </row>
    <row r="159" spans="1:39" s="10" customFormat="1" ht="17.100000000000001" customHeight="1" x14ac:dyDescent="0.3">
      <c r="A159" s="937"/>
      <c r="B159" s="927" t="s">
        <v>47</v>
      </c>
      <c r="C159" s="889"/>
      <c r="D159" s="927">
        <v>2</v>
      </c>
      <c r="E159" s="11" t="s">
        <v>51</v>
      </c>
      <c r="F159" s="233">
        <v>0.02</v>
      </c>
      <c r="G159" s="146"/>
      <c r="H159" s="149">
        <v>45320</v>
      </c>
      <c r="I159" s="13">
        <v>1</v>
      </c>
      <c r="J159" s="995" t="s">
        <v>88</v>
      </c>
      <c r="K159" s="972"/>
      <c r="L159" s="975"/>
      <c r="M159" s="944"/>
      <c r="N159" s="872"/>
      <c r="O159" s="872">
        <v>2023.08</v>
      </c>
      <c r="P159" s="872"/>
      <c r="Q159" s="921"/>
      <c r="R159" s="1066"/>
      <c r="S159" s="995"/>
      <c r="T159" s="872"/>
      <c r="U159" s="872"/>
      <c r="V159" s="872"/>
      <c r="W159" s="872"/>
      <c r="X159" s="1066"/>
      <c r="Y159" s="872"/>
      <c r="Z159" s="876"/>
      <c r="AA159" s="879"/>
      <c r="AB159" s="879"/>
      <c r="AC159" s="882"/>
      <c r="AD159" s="58"/>
      <c r="AE159" s="79"/>
      <c r="AF159" s="59">
        <v>44693</v>
      </c>
      <c r="AG159" s="9"/>
      <c r="AH159" s="928"/>
      <c r="AI159" s="915"/>
      <c r="AJ159" s="917"/>
      <c r="AK159" s="915"/>
      <c r="AL159" s="933"/>
      <c r="AM159" s="58"/>
    </row>
    <row r="160" spans="1:39" s="10" customFormat="1" ht="17.100000000000001" customHeight="1" x14ac:dyDescent="0.3">
      <c r="A160" s="939"/>
      <c r="B160" s="941" t="s">
        <v>47</v>
      </c>
      <c r="C160" s="890"/>
      <c r="D160" s="941">
        <v>2</v>
      </c>
      <c r="E160" s="24" t="s">
        <v>100</v>
      </c>
      <c r="F160" s="237">
        <v>0.21</v>
      </c>
      <c r="G160" s="147"/>
      <c r="H160" s="150">
        <v>45259</v>
      </c>
      <c r="I160" s="17">
        <v>1</v>
      </c>
      <c r="J160" s="996" t="s">
        <v>88</v>
      </c>
      <c r="K160" s="973"/>
      <c r="L160" s="976"/>
      <c r="M160" s="945"/>
      <c r="N160" s="874"/>
      <c r="O160" s="874">
        <v>2023.08</v>
      </c>
      <c r="P160" s="874"/>
      <c r="Q160" s="946"/>
      <c r="R160" s="1067"/>
      <c r="S160" s="996"/>
      <c r="T160" s="874"/>
      <c r="U160" s="874"/>
      <c r="V160" s="874"/>
      <c r="W160" s="874"/>
      <c r="X160" s="1067"/>
      <c r="Y160" s="874"/>
      <c r="Z160" s="877"/>
      <c r="AA160" s="880"/>
      <c r="AB160" s="880"/>
      <c r="AC160" s="883"/>
      <c r="AD160" s="60"/>
      <c r="AE160" s="80"/>
      <c r="AF160" s="59"/>
      <c r="AG160" s="9"/>
      <c r="AH160" s="928"/>
      <c r="AI160" s="915"/>
      <c r="AJ160" s="918"/>
      <c r="AK160" s="915"/>
      <c r="AL160" s="933"/>
      <c r="AM160" s="60"/>
    </row>
    <row r="161" spans="1:39" s="10" customFormat="1" ht="17.100000000000001" customHeight="1" x14ac:dyDescent="0.3">
      <c r="A161" s="1082">
        <v>46446</v>
      </c>
      <c r="B161" s="891" t="s">
        <v>982</v>
      </c>
      <c r="C161" s="926" t="s">
        <v>498</v>
      </c>
      <c r="D161" s="926">
        <v>12</v>
      </c>
      <c r="E161" s="19" t="s">
        <v>182</v>
      </c>
      <c r="F161" s="224" t="s">
        <v>13</v>
      </c>
      <c r="G161" s="278"/>
      <c r="H161" s="277" t="s">
        <v>651</v>
      </c>
      <c r="I161" s="7">
        <v>0.6</v>
      </c>
      <c r="J161" s="952" t="s">
        <v>347</v>
      </c>
      <c r="K161" s="345"/>
      <c r="L161" s="354"/>
      <c r="M161" s="948" t="s">
        <v>405</v>
      </c>
      <c r="N161" s="888">
        <v>44166</v>
      </c>
      <c r="O161" s="888">
        <v>45992</v>
      </c>
      <c r="P161" s="888">
        <v>46357</v>
      </c>
      <c r="Q161" s="888"/>
      <c r="R161" s="888" t="s">
        <v>649</v>
      </c>
      <c r="S161" s="913"/>
      <c r="T161" s="888">
        <v>44161</v>
      </c>
      <c r="U161" s="888">
        <v>45986</v>
      </c>
      <c r="V161" s="888">
        <v>46351</v>
      </c>
      <c r="W161" s="888"/>
      <c r="X161" s="888" t="s">
        <v>473</v>
      </c>
      <c r="Y161" s="888" t="s">
        <v>848</v>
      </c>
      <c r="Z161" s="1068">
        <v>45945</v>
      </c>
      <c r="AA161" s="878" t="s">
        <v>397</v>
      </c>
      <c r="AB161" s="878"/>
      <c r="AC161" s="1020">
        <v>1800000</v>
      </c>
      <c r="AD161" s="56"/>
      <c r="AE161" s="78"/>
      <c r="AF161" s="57"/>
      <c r="AG161" s="9" t="s">
        <v>153</v>
      </c>
      <c r="AH161" s="1011" t="s">
        <v>160</v>
      </c>
      <c r="AI161" s="1015" t="s">
        <v>166</v>
      </c>
      <c r="AJ161" s="1007" t="s">
        <v>160</v>
      </c>
      <c r="AK161" s="1015"/>
      <c r="AL161" s="1006"/>
      <c r="AM161" s="56"/>
    </row>
    <row r="162" spans="1:39" s="10" customFormat="1" ht="17.100000000000001" customHeight="1" x14ac:dyDescent="0.3">
      <c r="A162" s="1083"/>
      <c r="B162" s="889"/>
      <c r="C162" s="927"/>
      <c r="D162" s="927">
        <v>12</v>
      </c>
      <c r="E162" s="11" t="s">
        <v>104</v>
      </c>
      <c r="F162" s="243" t="s">
        <v>223</v>
      </c>
      <c r="G162" s="279"/>
      <c r="H162" s="29">
        <v>46164</v>
      </c>
      <c r="I162" s="30">
        <v>0.85</v>
      </c>
      <c r="J162" s="889"/>
      <c r="K162" s="343"/>
      <c r="L162" s="611"/>
      <c r="M162" s="949"/>
      <c r="N162" s="921"/>
      <c r="O162" s="921"/>
      <c r="P162" s="921"/>
      <c r="Q162" s="921"/>
      <c r="R162" s="921"/>
      <c r="S162" s="889"/>
      <c r="T162" s="921"/>
      <c r="U162" s="921"/>
      <c r="V162" s="921"/>
      <c r="W162" s="921"/>
      <c r="X162" s="921"/>
      <c r="Y162" s="921"/>
      <c r="Z162" s="1069"/>
      <c r="AA162" s="879"/>
      <c r="AB162" s="879"/>
      <c r="AC162" s="882"/>
      <c r="AD162" s="58"/>
      <c r="AE162" s="79"/>
      <c r="AF162" s="59"/>
      <c r="AG162" s="9"/>
      <c r="AH162" s="1011"/>
      <c r="AI162" s="1015"/>
      <c r="AJ162" s="1008"/>
      <c r="AK162" s="1015"/>
      <c r="AL162" s="1006"/>
      <c r="AM162" s="58"/>
    </row>
    <row r="163" spans="1:39" s="10" customFormat="1" ht="17.100000000000001" customHeight="1" x14ac:dyDescent="0.3">
      <c r="A163" s="1083"/>
      <c r="B163" s="889"/>
      <c r="C163" s="405" t="s">
        <v>501</v>
      </c>
      <c r="D163" s="923">
        <v>12</v>
      </c>
      <c r="E163" s="185" t="s">
        <v>100</v>
      </c>
      <c r="F163" s="234">
        <v>0.20979999999999999</v>
      </c>
      <c r="G163" s="285"/>
      <c r="H163" s="183">
        <v>45195</v>
      </c>
      <c r="I163" s="184">
        <v>0.8</v>
      </c>
      <c r="J163" s="889"/>
      <c r="K163" s="343"/>
      <c r="L163" s="611"/>
      <c r="M163" s="949"/>
      <c r="N163" s="921"/>
      <c r="O163" s="921"/>
      <c r="P163" s="921"/>
      <c r="Q163" s="921"/>
      <c r="R163" s="921"/>
      <c r="S163" s="889"/>
      <c r="T163" s="921"/>
      <c r="U163" s="921"/>
      <c r="V163" s="921"/>
      <c r="W163" s="921"/>
      <c r="X163" s="921"/>
      <c r="Y163" s="921"/>
      <c r="Z163" s="1069"/>
      <c r="AA163" s="879"/>
      <c r="AB163" s="879"/>
      <c r="AC163" s="882"/>
      <c r="AD163" s="58"/>
      <c r="AE163" s="79"/>
      <c r="AF163" s="59"/>
      <c r="AG163" s="9"/>
      <c r="AH163" s="1011"/>
      <c r="AI163" s="1015"/>
      <c r="AJ163" s="1008"/>
      <c r="AK163" s="1015"/>
      <c r="AL163" s="1006"/>
      <c r="AM163" s="58"/>
    </row>
    <row r="164" spans="1:39" s="10" customFormat="1" ht="17.100000000000001" customHeight="1" x14ac:dyDescent="0.3">
      <c r="A164" s="1083"/>
      <c r="B164" s="889"/>
      <c r="C164" s="927" t="s">
        <v>499</v>
      </c>
      <c r="D164" s="1078">
        <v>22</v>
      </c>
      <c r="E164" s="35" t="s">
        <v>182</v>
      </c>
      <c r="F164" s="213" t="s">
        <v>24</v>
      </c>
      <c r="G164" s="281"/>
      <c r="H164" s="280" t="s">
        <v>634</v>
      </c>
      <c r="I164" s="36">
        <v>0.7</v>
      </c>
      <c r="J164" s="889"/>
      <c r="K164" s="343"/>
      <c r="L164" s="611"/>
      <c r="M164" s="949"/>
      <c r="N164" s="921"/>
      <c r="O164" s="921"/>
      <c r="P164" s="921"/>
      <c r="Q164" s="921"/>
      <c r="R164" s="921"/>
      <c r="S164" s="889"/>
      <c r="T164" s="921"/>
      <c r="U164" s="921"/>
      <c r="V164" s="921"/>
      <c r="W164" s="921"/>
      <c r="X164" s="921"/>
      <c r="Y164" s="921"/>
      <c r="Z164" s="1033" t="s">
        <v>839</v>
      </c>
      <c r="AA164" s="879"/>
      <c r="AB164" s="879"/>
      <c r="AC164" s="882"/>
      <c r="AD164" s="58"/>
      <c r="AE164" s="79"/>
      <c r="AF164" s="59"/>
      <c r="AG164" s="9"/>
      <c r="AH164" s="1011"/>
      <c r="AI164" s="1015"/>
      <c r="AJ164" s="1008"/>
      <c r="AK164" s="1015"/>
      <c r="AL164" s="1006"/>
      <c r="AM164" s="58"/>
    </row>
    <row r="165" spans="1:39" s="10" customFormat="1" ht="17.100000000000001" customHeight="1" x14ac:dyDescent="0.3">
      <c r="A165" s="1083"/>
      <c r="B165" s="889"/>
      <c r="C165" s="927"/>
      <c r="D165" s="889"/>
      <c r="E165" s="26" t="s">
        <v>189</v>
      </c>
      <c r="F165" s="243" t="s">
        <v>224</v>
      </c>
      <c r="G165" s="279"/>
      <c r="H165" s="399">
        <v>46164</v>
      </c>
      <c r="I165" s="13">
        <v>0.8</v>
      </c>
      <c r="J165" s="889"/>
      <c r="K165" s="343"/>
      <c r="L165" s="611"/>
      <c r="M165" s="949"/>
      <c r="N165" s="921"/>
      <c r="O165" s="921"/>
      <c r="P165" s="921"/>
      <c r="Q165" s="921"/>
      <c r="R165" s="921"/>
      <c r="S165" s="889"/>
      <c r="T165" s="921"/>
      <c r="U165" s="921"/>
      <c r="V165" s="921"/>
      <c r="W165" s="921"/>
      <c r="X165" s="921"/>
      <c r="Y165" s="921"/>
      <c r="Z165" s="1033"/>
      <c r="AA165" s="879"/>
      <c r="AB165" s="879"/>
      <c r="AC165" s="882"/>
      <c r="AD165" s="60"/>
      <c r="AE165" s="79"/>
      <c r="AF165" s="59"/>
      <c r="AG165" s="9"/>
      <c r="AH165" s="1011"/>
      <c r="AI165" s="1015"/>
      <c r="AJ165" s="1008"/>
      <c r="AK165" s="1015"/>
      <c r="AL165" s="1006"/>
      <c r="AM165" s="60"/>
    </row>
    <row r="166" spans="1:39" s="10" customFormat="1" ht="17.100000000000001" customHeight="1" x14ac:dyDescent="0.3">
      <c r="A166" s="1084"/>
      <c r="B166" s="890"/>
      <c r="C166" s="406" t="s">
        <v>500</v>
      </c>
      <c r="D166" s="890"/>
      <c r="E166" s="180" t="s">
        <v>472</v>
      </c>
      <c r="F166" s="288">
        <v>0.20979999999999999</v>
      </c>
      <c r="G166" s="275"/>
      <c r="H166" s="276">
        <v>45195</v>
      </c>
      <c r="I166" s="128">
        <v>0.8</v>
      </c>
      <c r="J166" s="890"/>
      <c r="K166" s="344"/>
      <c r="L166" s="356"/>
      <c r="M166" s="950"/>
      <c r="N166" s="946"/>
      <c r="O166" s="946"/>
      <c r="P166" s="946"/>
      <c r="Q166" s="946"/>
      <c r="R166" s="946"/>
      <c r="S166" s="890"/>
      <c r="T166" s="946"/>
      <c r="U166" s="946"/>
      <c r="V166" s="946"/>
      <c r="W166" s="946"/>
      <c r="X166" s="946"/>
      <c r="Y166" s="946"/>
      <c r="Z166" s="1038"/>
      <c r="AA166" s="880"/>
      <c r="AB166" s="880"/>
      <c r="AC166" s="883"/>
      <c r="AD166" s="60"/>
      <c r="AE166" s="79"/>
      <c r="AF166" s="59"/>
      <c r="AG166" s="9"/>
      <c r="AH166" s="284"/>
      <c r="AI166" s="283"/>
      <c r="AJ166" s="282"/>
      <c r="AK166" s="283"/>
      <c r="AL166" s="286"/>
      <c r="AM166" s="60"/>
    </row>
    <row r="167" spans="1:39" s="10" customFormat="1" ht="17.100000000000001" customHeight="1" x14ac:dyDescent="0.3">
      <c r="A167" s="1077">
        <v>46295</v>
      </c>
      <c r="B167" s="1042" t="s">
        <v>998</v>
      </c>
      <c r="C167" s="889" t="s">
        <v>132</v>
      </c>
      <c r="D167" s="902">
        <v>2</v>
      </c>
      <c r="E167" s="35" t="s">
        <v>836</v>
      </c>
      <c r="F167" s="287" t="s">
        <v>310</v>
      </c>
      <c r="G167" s="156">
        <v>10</v>
      </c>
      <c r="H167" s="152">
        <v>46317</v>
      </c>
      <c r="I167" s="36">
        <v>1</v>
      </c>
      <c r="J167" s="966" t="s">
        <v>347</v>
      </c>
      <c r="K167" s="341"/>
      <c r="L167" s="697"/>
      <c r="M167" s="943" t="s">
        <v>408</v>
      </c>
      <c r="N167" s="871">
        <v>44398</v>
      </c>
      <c r="O167" s="871">
        <v>45858</v>
      </c>
      <c r="P167" s="871">
        <v>46223</v>
      </c>
      <c r="Q167" s="871"/>
      <c r="R167" s="959"/>
      <c r="S167" s="913"/>
      <c r="T167" s="871">
        <v>44420</v>
      </c>
      <c r="U167" s="871">
        <v>45880</v>
      </c>
      <c r="V167" s="871">
        <v>46245</v>
      </c>
      <c r="W167" s="871"/>
      <c r="X167" s="888"/>
      <c r="Y167" s="959" t="s">
        <v>840</v>
      </c>
      <c r="Z167" s="897">
        <v>45975</v>
      </c>
      <c r="AA167" s="878" t="s">
        <v>829</v>
      </c>
      <c r="AB167" s="878"/>
      <c r="AC167" s="881">
        <v>2500000</v>
      </c>
      <c r="AD167" s="64"/>
      <c r="AE167" s="78"/>
      <c r="AF167" s="57"/>
      <c r="AG167" s="23" t="s">
        <v>136</v>
      </c>
      <c r="AH167" s="1014" t="s">
        <v>160</v>
      </c>
      <c r="AI167" s="1017" t="s">
        <v>166</v>
      </c>
      <c r="AJ167" s="1003" t="s">
        <v>160</v>
      </c>
      <c r="AK167" s="1017"/>
      <c r="AL167" s="998"/>
      <c r="AM167" s="64"/>
    </row>
    <row r="168" spans="1:39" s="10" customFormat="1" ht="17.100000000000001" customHeight="1" x14ac:dyDescent="0.3">
      <c r="A168" s="937"/>
      <c r="B168" s="872" t="s">
        <v>96</v>
      </c>
      <c r="C168" s="889"/>
      <c r="D168" s="940">
        <v>2</v>
      </c>
      <c r="E168" s="33" t="s">
        <v>97</v>
      </c>
      <c r="F168" s="231" t="s">
        <v>50</v>
      </c>
      <c r="G168" s="155">
        <v>10</v>
      </c>
      <c r="H168" s="151">
        <v>46317</v>
      </c>
      <c r="I168" s="34">
        <v>1</v>
      </c>
      <c r="J168" s="889"/>
      <c r="K168" s="343"/>
      <c r="L168" s="795"/>
      <c r="M168" s="944"/>
      <c r="N168" s="872"/>
      <c r="O168" s="872"/>
      <c r="P168" s="872"/>
      <c r="Q168" s="872"/>
      <c r="R168" s="921"/>
      <c r="S168" s="889"/>
      <c r="T168" s="872"/>
      <c r="U168" s="872"/>
      <c r="V168" s="872"/>
      <c r="W168" s="872"/>
      <c r="X168" s="921"/>
      <c r="Y168" s="921"/>
      <c r="Z168" s="876"/>
      <c r="AA168" s="879"/>
      <c r="AB168" s="879"/>
      <c r="AC168" s="882"/>
      <c r="AD168" s="58" t="s">
        <v>830</v>
      </c>
      <c r="AE168" s="79"/>
      <c r="AF168" s="59"/>
      <c r="AG168" s="9"/>
      <c r="AH168" s="1014"/>
      <c r="AI168" s="1017"/>
      <c r="AJ168" s="1005"/>
      <c r="AK168" s="1017"/>
      <c r="AL168" s="998"/>
      <c r="AM168" s="58"/>
    </row>
    <row r="169" spans="1:39" s="10" customFormat="1" ht="17.100000000000001" customHeight="1" x14ac:dyDescent="0.3">
      <c r="A169" s="1096"/>
      <c r="B169" s="1095" t="s">
        <v>96</v>
      </c>
      <c r="C169" s="889"/>
      <c r="D169" s="1073">
        <v>3</v>
      </c>
      <c r="E169" s="195" t="s">
        <v>312</v>
      </c>
      <c r="F169" s="248" t="s">
        <v>311</v>
      </c>
      <c r="G169" s="196">
        <v>10</v>
      </c>
      <c r="H169" s="197">
        <v>46408</v>
      </c>
      <c r="I169" s="198">
        <v>1</v>
      </c>
      <c r="J169" s="889"/>
      <c r="K169" s="343"/>
      <c r="L169" s="795"/>
      <c r="M169" s="944"/>
      <c r="N169" s="872">
        <v>44433</v>
      </c>
      <c r="O169" s="872">
        <v>45893</v>
      </c>
      <c r="P169" s="872">
        <v>46258</v>
      </c>
      <c r="Q169" s="872"/>
      <c r="R169" s="921"/>
      <c r="S169" s="889"/>
      <c r="T169" s="872">
        <v>44421</v>
      </c>
      <c r="U169" s="872">
        <v>45881</v>
      </c>
      <c r="V169" s="872">
        <v>46246</v>
      </c>
      <c r="W169" s="872"/>
      <c r="X169" s="921"/>
      <c r="Y169" s="921"/>
      <c r="Z169" s="876"/>
      <c r="AA169" s="879"/>
      <c r="AB169" s="879"/>
      <c r="AC169" s="882"/>
      <c r="AD169" s="58"/>
      <c r="AE169" s="79"/>
      <c r="AF169" s="59"/>
      <c r="AG169" s="9"/>
      <c r="AH169" s="1014"/>
      <c r="AI169" s="1017"/>
      <c r="AJ169" s="1005"/>
      <c r="AK169" s="1017"/>
      <c r="AL169" s="998"/>
      <c r="AM169" s="58"/>
    </row>
    <row r="170" spans="1:39" s="10" customFormat="1" ht="17.100000000000001" customHeight="1" x14ac:dyDescent="0.3">
      <c r="A170" s="937"/>
      <c r="B170" s="872" t="s">
        <v>96</v>
      </c>
      <c r="C170" s="889"/>
      <c r="D170" s="1073">
        <v>3</v>
      </c>
      <c r="E170" s="185" t="s">
        <v>2</v>
      </c>
      <c r="F170" s="220" t="s">
        <v>50</v>
      </c>
      <c r="G170" s="182">
        <v>10</v>
      </c>
      <c r="H170" s="183">
        <v>46408</v>
      </c>
      <c r="I170" s="184">
        <v>0.95</v>
      </c>
      <c r="J170" s="889"/>
      <c r="K170" s="343"/>
      <c r="L170" s="795"/>
      <c r="M170" s="944"/>
      <c r="N170" s="872"/>
      <c r="O170" s="872"/>
      <c r="P170" s="872"/>
      <c r="Q170" s="872"/>
      <c r="R170" s="921"/>
      <c r="S170" s="889"/>
      <c r="T170" s="872"/>
      <c r="U170" s="872"/>
      <c r="V170" s="872"/>
      <c r="W170" s="872"/>
      <c r="X170" s="921"/>
      <c r="Y170" s="921"/>
      <c r="Z170" s="876"/>
      <c r="AA170" s="879"/>
      <c r="AB170" s="879"/>
      <c r="AC170" s="882"/>
      <c r="AD170" s="58"/>
      <c r="AE170" s="79"/>
      <c r="AF170" s="59"/>
      <c r="AG170" s="9"/>
      <c r="AH170" s="1014"/>
      <c r="AI170" s="1017"/>
      <c r="AJ170" s="1005"/>
      <c r="AK170" s="1017"/>
      <c r="AL170" s="998"/>
      <c r="AM170" s="58"/>
    </row>
    <row r="171" spans="1:39" s="10" customFormat="1" ht="17.100000000000001" customHeight="1" x14ac:dyDescent="0.3">
      <c r="A171" s="937"/>
      <c r="B171" s="872" t="s">
        <v>96</v>
      </c>
      <c r="C171" s="889"/>
      <c r="D171" s="1073">
        <v>5</v>
      </c>
      <c r="E171" s="195" t="s">
        <v>309</v>
      </c>
      <c r="F171" s="248" t="s">
        <v>225</v>
      </c>
      <c r="G171" s="196">
        <v>10</v>
      </c>
      <c r="H171" s="247">
        <v>46141</v>
      </c>
      <c r="I171" s="198">
        <v>0.96</v>
      </c>
      <c r="J171" s="889"/>
      <c r="K171" s="343"/>
      <c r="L171" s="795"/>
      <c r="M171" s="944"/>
      <c r="N171" s="872">
        <v>44433</v>
      </c>
      <c r="O171" s="872">
        <v>45893</v>
      </c>
      <c r="P171" s="872">
        <v>46258</v>
      </c>
      <c r="Q171" s="872"/>
      <c r="R171" s="921"/>
      <c r="S171" s="889"/>
      <c r="T171" s="872">
        <v>44447</v>
      </c>
      <c r="U171" s="872">
        <v>45907</v>
      </c>
      <c r="V171" s="872">
        <v>46272</v>
      </c>
      <c r="W171" s="872"/>
      <c r="X171" s="921"/>
      <c r="Y171" s="921"/>
      <c r="Z171" s="876"/>
      <c r="AA171" s="879"/>
      <c r="AB171" s="879"/>
      <c r="AC171" s="882"/>
      <c r="AD171" s="58"/>
      <c r="AE171" s="79"/>
      <c r="AF171" s="59"/>
      <c r="AG171" s="9"/>
      <c r="AH171" s="1014"/>
      <c r="AI171" s="1017"/>
      <c r="AJ171" s="1005"/>
      <c r="AK171" s="1017"/>
      <c r="AL171" s="998"/>
      <c r="AM171" s="58"/>
    </row>
    <row r="172" spans="1:39" s="10" customFormat="1" ht="17.100000000000001" customHeight="1" x14ac:dyDescent="0.3">
      <c r="A172" s="937"/>
      <c r="B172" s="872" t="s">
        <v>96</v>
      </c>
      <c r="C172" s="889"/>
      <c r="D172" s="1073">
        <v>5</v>
      </c>
      <c r="E172" s="185" t="s">
        <v>2</v>
      </c>
      <c r="F172" s="220" t="s">
        <v>50</v>
      </c>
      <c r="G172" s="182">
        <v>10</v>
      </c>
      <c r="H172" s="183">
        <v>46141</v>
      </c>
      <c r="I172" s="184">
        <v>0.84</v>
      </c>
      <c r="J172" s="889"/>
      <c r="K172" s="343"/>
      <c r="L172" s="795"/>
      <c r="M172" s="944"/>
      <c r="N172" s="872"/>
      <c r="O172" s="872"/>
      <c r="P172" s="872"/>
      <c r="Q172" s="872"/>
      <c r="R172" s="921"/>
      <c r="S172" s="889"/>
      <c r="T172" s="872"/>
      <c r="U172" s="872"/>
      <c r="V172" s="872"/>
      <c r="W172" s="872"/>
      <c r="X172" s="921"/>
      <c r="Y172" s="921"/>
      <c r="Z172" s="876"/>
      <c r="AA172" s="879"/>
      <c r="AB172" s="879"/>
      <c r="AC172" s="882"/>
      <c r="AD172" s="58"/>
      <c r="AE172" s="79"/>
      <c r="AF172" s="59"/>
      <c r="AG172" s="9"/>
      <c r="AH172" s="1014"/>
      <c r="AI172" s="1017"/>
      <c r="AJ172" s="1005"/>
      <c r="AK172" s="1017"/>
      <c r="AL172" s="998"/>
      <c r="AM172" s="58"/>
    </row>
    <row r="173" spans="1:39" s="10" customFormat="1" ht="17.100000000000001" customHeight="1" x14ac:dyDescent="0.3">
      <c r="A173" s="1096"/>
      <c r="B173" s="1095" t="s">
        <v>96</v>
      </c>
      <c r="C173" s="889"/>
      <c r="D173" s="902">
        <v>11</v>
      </c>
      <c r="E173" s="35" t="s">
        <v>313</v>
      </c>
      <c r="F173" s="248" t="s">
        <v>314</v>
      </c>
      <c r="G173" s="156">
        <v>10</v>
      </c>
      <c r="H173" s="152">
        <v>46408</v>
      </c>
      <c r="I173" s="36">
        <v>0.97</v>
      </c>
      <c r="J173" s="889"/>
      <c r="K173" s="343"/>
      <c r="L173" s="795"/>
      <c r="M173" s="944"/>
      <c r="N173" s="872">
        <v>44398</v>
      </c>
      <c r="O173" s="872">
        <v>45858</v>
      </c>
      <c r="P173" s="872">
        <v>46223</v>
      </c>
      <c r="Q173" s="872"/>
      <c r="R173" s="921"/>
      <c r="S173" s="889"/>
      <c r="T173" s="872">
        <v>44420</v>
      </c>
      <c r="U173" s="872">
        <v>45880</v>
      </c>
      <c r="V173" s="872">
        <v>46245</v>
      </c>
      <c r="W173" s="872"/>
      <c r="X173" s="921"/>
      <c r="Y173" s="921"/>
      <c r="Z173" s="876"/>
      <c r="AA173" s="879"/>
      <c r="AB173" s="879"/>
      <c r="AC173" s="882"/>
      <c r="AD173" s="58"/>
      <c r="AE173" s="79"/>
      <c r="AF173" s="59"/>
      <c r="AG173" s="9"/>
      <c r="AH173" s="1014"/>
      <c r="AI173" s="1017"/>
      <c r="AJ173" s="1005"/>
      <c r="AK173" s="1017"/>
      <c r="AL173" s="998"/>
      <c r="AM173" s="58"/>
    </row>
    <row r="174" spans="1:39" s="10" customFormat="1" ht="17.100000000000001" customHeight="1" x14ac:dyDescent="0.3">
      <c r="A174" s="939"/>
      <c r="B174" s="874" t="s">
        <v>96</v>
      </c>
      <c r="C174" s="890"/>
      <c r="D174" s="941">
        <v>11</v>
      </c>
      <c r="E174" s="24" t="s">
        <v>2</v>
      </c>
      <c r="F174" s="214" t="s">
        <v>50</v>
      </c>
      <c r="G174" s="147">
        <v>10</v>
      </c>
      <c r="H174" s="150">
        <v>46408</v>
      </c>
      <c r="I174" s="17">
        <v>0.97</v>
      </c>
      <c r="J174" s="890"/>
      <c r="K174" s="344"/>
      <c r="L174" s="796"/>
      <c r="M174" s="945"/>
      <c r="N174" s="874"/>
      <c r="O174" s="874"/>
      <c r="P174" s="874"/>
      <c r="Q174" s="874"/>
      <c r="R174" s="946"/>
      <c r="S174" s="890"/>
      <c r="T174" s="874"/>
      <c r="U174" s="874"/>
      <c r="V174" s="874"/>
      <c r="W174" s="874"/>
      <c r="X174" s="946"/>
      <c r="Y174" s="946"/>
      <c r="Z174" s="877"/>
      <c r="AA174" s="880"/>
      <c r="AB174" s="880"/>
      <c r="AC174" s="883"/>
      <c r="AD174" s="60"/>
      <c r="AE174" s="80"/>
      <c r="AF174" s="61"/>
      <c r="AG174" s="9"/>
      <c r="AH174" s="1014"/>
      <c r="AI174" s="1017"/>
      <c r="AJ174" s="1004"/>
      <c r="AK174" s="1017"/>
      <c r="AL174" s="998"/>
      <c r="AM174" s="60"/>
    </row>
    <row r="175" spans="1:39" s="10" customFormat="1" ht="17.100000000000001" customHeight="1" x14ac:dyDescent="0.3">
      <c r="A175" s="1083">
        <v>46387</v>
      </c>
      <c r="B175" s="921" t="s">
        <v>999</v>
      </c>
      <c r="C175" s="902" t="s">
        <v>132</v>
      </c>
      <c r="D175" s="902">
        <v>5</v>
      </c>
      <c r="E175" s="35" t="s">
        <v>817</v>
      </c>
      <c r="F175" s="243" t="s">
        <v>315</v>
      </c>
      <c r="G175" s="156">
        <v>10</v>
      </c>
      <c r="H175" s="152">
        <v>46324</v>
      </c>
      <c r="I175" s="36">
        <v>0.85</v>
      </c>
      <c r="J175" s="966" t="s">
        <v>347</v>
      </c>
      <c r="K175" s="341"/>
      <c r="L175" s="716"/>
      <c r="M175" s="948" t="s">
        <v>417</v>
      </c>
      <c r="N175" s="921">
        <v>44533</v>
      </c>
      <c r="O175" s="921">
        <v>45993</v>
      </c>
      <c r="P175" s="888">
        <v>46358</v>
      </c>
      <c r="Q175" s="888" t="s">
        <v>544</v>
      </c>
      <c r="R175" s="888" t="s">
        <v>504</v>
      </c>
      <c r="S175" s="955"/>
      <c r="T175" s="921">
        <v>44368</v>
      </c>
      <c r="U175" s="921">
        <v>45828</v>
      </c>
      <c r="V175" s="921">
        <v>46193</v>
      </c>
      <c r="W175" s="921" t="s">
        <v>779</v>
      </c>
      <c r="X175" s="888" t="s">
        <v>505</v>
      </c>
      <c r="Y175" s="921"/>
      <c r="Z175" s="897">
        <v>46062</v>
      </c>
      <c r="AA175" s="878" t="s">
        <v>384</v>
      </c>
      <c r="AB175" s="878"/>
      <c r="AC175" s="881">
        <v>1150000</v>
      </c>
      <c r="AD175" s="64"/>
      <c r="AE175" s="79"/>
      <c r="AF175" s="59"/>
      <c r="AG175" s="9" t="s">
        <v>137</v>
      </c>
      <c r="AH175" s="1014" t="s">
        <v>160</v>
      </c>
      <c r="AI175" s="1017" t="s">
        <v>166</v>
      </c>
      <c r="AJ175" s="1003" t="s">
        <v>160</v>
      </c>
      <c r="AK175" s="1017"/>
      <c r="AL175" s="998"/>
      <c r="AM175" s="327" t="s">
        <v>863</v>
      </c>
    </row>
    <row r="176" spans="1:39" s="10" customFormat="1" ht="17.100000000000001" customHeight="1" x14ac:dyDescent="0.3">
      <c r="A176" s="1084"/>
      <c r="B176" s="946"/>
      <c r="C176" s="941"/>
      <c r="D176" s="941">
        <v>11</v>
      </c>
      <c r="E176" s="24" t="s">
        <v>2</v>
      </c>
      <c r="F176" s="214" t="s">
        <v>50</v>
      </c>
      <c r="G176" s="147">
        <v>10</v>
      </c>
      <c r="H176" s="150"/>
      <c r="I176" s="17">
        <v>0.35</v>
      </c>
      <c r="J176" s="890"/>
      <c r="K176" s="344"/>
      <c r="L176" s="551"/>
      <c r="M176" s="950"/>
      <c r="N176" s="946"/>
      <c r="O176" s="946"/>
      <c r="P176" s="946"/>
      <c r="Q176" s="946"/>
      <c r="R176" s="946"/>
      <c r="S176" s="890"/>
      <c r="T176" s="946"/>
      <c r="U176" s="946"/>
      <c r="V176" s="946"/>
      <c r="W176" s="946"/>
      <c r="X176" s="946"/>
      <c r="Y176" s="946"/>
      <c r="Z176" s="877"/>
      <c r="AA176" s="880"/>
      <c r="AB176" s="880"/>
      <c r="AC176" s="883"/>
      <c r="AD176" s="60"/>
      <c r="AE176" s="80"/>
      <c r="AF176" s="61"/>
      <c r="AG176" s="9"/>
      <c r="AH176" s="1014"/>
      <c r="AI176" s="1017"/>
      <c r="AJ176" s="1004"/>
      <c r="AK176" s="1017"/>
      <c r="AL176" s="998"/>
      <c r="AM176" s="60"/>
    </row>
    <row r="177" spans="1:39" s="10" customFormat="1" ht="17.100000000000001" customHeight="1" x14ac:dyDescent="0.3">
      <c r="A177" s="1077">
        <v>46234</v>
      </c>
      <c r="B177" s="889" t="s">
        <v>983</v>
      </c>
      <c r="C177" s="902" t="s">
        <v>60</v>
      </c>
      <c r="D177" s="902">
        <v>1</v>
      </c>
      <c r="E177" s="35" t="s">
        <v>52</v>
      </c>
      <c r="F177" s="390" t="s">
        <v>50</v>
      </c>
      <c r="G177" s="156">
        <v>10</v>
      </c>
      <c r="H177" s="510">
        <v>46394</v>
      </c>
      <c r="I177" s="36">
        <v>1</v>
      </c>
      <c r="J177" s="1074" t="s">
        <v>347</v>
      </c>
      <c r="K177" s="341"/>
      <c r="L177" s="749"/>
      <c r="M177" s="943" t="s">
        <v>406</v>
      </c>
      <c r="N177" s="888">
        <v>42636</v>
      </c>
      <c r="O177" s="888">
        <v>45922</v>
      </c>
      <c r="P177" s="888">
        <v>46287</v>
      </c>
      <c r="Q177" s="888"/>
      <c r="R177" s="888" t="s">
        <v>473</v>
      </c>
      <c r="S177" s="1180"/>
      <c r="T177" s="888">
        <v>44301</v>
      </c>
      <c r="U177" s="888">
        <v>45761</v>
      </c>
      <c r="V177" s="888">
        <v>46126</v>
      </c>
      <c r="W177" s="1173"/>
      <c r="X177" s="888" t="s">
        <v>474</v>
      </c>
      <c r="Y177" s="888"/>
      <c r="Z177" s="897">
        <v>46058</v>
      </c>
      <c r="AA177" s="878" t="s">
        <v>398</v>
      </c>
      <c r="AB177" s="878"/>
      <c r="AC177" s="881">
        <v>1400000</v>
      </c>
      <c r="AD177" s="64"/>
      <c r="AE177" s="78"/>
      <c r="AF177" s="57"/>
      <c r="AG177" s="9" t="s">
        <v>143</v>
      </c>
      <c r="AH177" s="928" t="s">
        <v>165</v>
      </c>
      <c r="AI177" s="915" t="s">
        <v>160</v>
      </c>
      <c r="AJ177" s="916" t="s">
        <v>167</v>
      </c>
      <c r="AK177" s="915" t="s">
        <v>171</v>
      </c>
      <c r="AL177" s="933"/>
      <c r="AM177" s="327"/>
    </row>
    <row r="178" spans="1:39" s="10" customFormat="1" ht="17.100000000000001" customHeight="1" x14ac:dyDescent="0.3">
      <c r="A178" s="937"/>
      <c r="B178" s="889"/>
      <c r="C178" s="927" t="s">
        <v>8</v>
      </c>
      <c r="D178" s="927">
        <v>1</v>
      </c>
      <c r="E178" s="20" t="s">
        <v>778</v>
      </c>
      <c r="F178" s="243" t="s">
        <v>265</v>
      </c>
      <c r="G178" s="146">
        <v>10</v>
      </c>
      <c r="H178" s="149">
        <v>46176</v>
      </c>
      <c r="I178" s="13">
        <v>0.8</v>
      </c>
      <c r="J178" s="985" t="s">
        <v>9</v>
      </c>
      <c r="K178" s="343"/>
      <c r="L178" s="612"/>
      <c r="M178" s="944"/>
      <c r="N178" s="921"/>
      <c r="O178" s="921"/>
      <c r="P178" s="921"/>
      <c r="Q178" s="921"/>
      <c r="R178" s="921"/>
      <c r="S178" s="1181"/>
      <c r="T178" s="921"/>
      <c r="U178" s="921"/>
      <c r="V178" s="921"/>
      <c r="W178" s="1174"/>
      <c r="X178" s="921"/>
      <c r="Y178" s="921"/>
      <c r="Z178" s="876"/>
      <c r="AA178" s="879"/>
      <c r="AB178" s="879"/>
      <c r="AC178" s="882"/>
      <c r="AD178" s="58"/>
      <c r="AE178" s="79"/>
      <c r="AF178" s="59"/>
      <c r="AG178" s="9"/>
      <c r="AH178" s="928"/>
      <c r="AI178" s="915"/>
      <c r="AJ178" s="917"/>
      <c r="AK178" s="915"/>
      <c r="AL178" s="933"/>
      <c r="AM178" s="325" t="s">
        <v>382</v>
      </c>
    </row>
    <row r="179" spans="1:39" s="10" customFormat="1" ht="17.100000000000001" customHeight="1" x14ac:dyDescent="0.3">
      <c r="A179" s="937"/>
      <c r="B179" s="889"/>
      <c r="C179" s="927" t="s">
        <v>8</v>
      </c>
      <c r="D179" s="927">
        <v>1</v>
      </c>
      <c r="E179" s="11" t="s">
        <v>51</v>
      </c>
      <c r="F179" s="233">
        <v>0.02</v>
      </c>
      <c r="G179" s="146">
        <v>10</v>
      </c>
      <c r="H179" s="149">
        <v>46176</v>
      </c>
      <c r="I179" s="13">
        <v>0.8</v>
      </c>
      <c r="J179" s="985" t="s">
        <v>9</v>
      </c>
      <c r="K179" s="343"/>
      <c r="L179" s="612"/>
      <c r="M179" s="944"/>
      <c r="N179" s="873">
        <v>43076</v>
      </c>
      <c r="O179" s="873">
        <v>45907</v>
      </c>
      <c r="P179" s="873">
        <v>46272</v>
      </c>
      <c r="Q179" s="956"/>
      <c r="R179" s="921"/>
      <c r="S179" s="1181"/>
      <c r="T179" s="921"/>
      <c r="U179" s="921"/>
      <c r="V179" s="921"/>
      <c r="W179" s="1174"/>
      <c r="X179" s="921"/>
      <c r="Y179" s="921"/>
      <c r="Z179" s="1034">
        <v>46080</v>
      </c>
      <c r="AA179" s="879"/>
      <c r="AB179" s="879"/>
      <c r="AC179" s="882"/>
      <c r="AD179" s="58"/>
      <c r="AE179" s="79"/>
      <c r="AF179" s="59"/>
      <c r="AG179" s="9"/>
      <c r="AH179" s="928"/>
      <c r="AI179" s="915"/>
      <c r="AJ179" s="917"/>
      <c r="AK179" s="915"/>
      <c r="AL179" s="933"/>
      <c r="AM179" s="325" t="s">
        <v>381</v>
      </c>
    </row>
    <row r="180" spans="1:39" s="10" customFormat="1" ht="17.100000000000001" customHeight="1" x14ac:dyDescent="0.3">
      <c r="A180" s="939"/>
      <c r="B180" s="890"/>
      <c r="C180" s="941" t="s">
        <v>8</v>
      </c>
      <c r="D180" s="941">
        <v>1</v>
      </c>
      <c r="E180" s="24" t="s">
        <v>100</v>
      </c>
      <c r="F180" s="237">
        <v>0.2104</v>
      </c>
      <c r="G180" s="147">
        <v>10</v>
      </c>
      <c r="H180" s="150">
        <v>46176</v>
      </c>
      <c r="I180" s="17">
        <v>0.65</v>
      </c>
      <c r="J180" s="986" t="s">
        <v>90</v>
      </c>
      <c r="K180" s="344"/>
      <c r="L180" s="613"/>
      <c r="M180" s="945"/>
      <c r="N180" s="946"/>
      <c r="O180" s="946"/>
      <c r="P180" s="946"/>
      <c r="Q180" s="1002"/>
      <c r="R180" s="946"/>
      <c r="S180" s="1182"/>
      <c r="T180" s="946"/>
      <c r="U180" s="946"/>
      <c r="V180" s="946"/>
      <c r="W180" s="1175"/>
      <c r="X180" s="946"/>
      <c r="Y180" s="946"/>
      <c r="Z180" s="877"/>
      <c r="AA180" s="880"/>
      <c r="AB180" s="880"/>
      <c r="AC180" s="883"/>
      <c r="AD180" s="60"/>
      <c r="AE180" s="80"/>
      <c r="AF180" s="61"/>
      <c r="AG180" s="9"/>
      <c r="AH180" s="928"/>
      <c r="AI180" s="915"/>
      <c r="AJ180" s="918"/>
      <c r="AK180" s="915"/>
      <c r="AL180" s="933"/>
      <c r="AM180" s="328" t="s">
        <v>383</v>
      </c>
    </row>
    <row r="181" spans="1:39" s="10" customFormat="1" ht="17.100000000000001" customHeight="1" x14ac:dyDescent="0.3">
      <c r="A181" s="1082">
        <v>46142</v>
      </c>
      <c r="B181" s="926" t="s">
        <v>1000</v>
      </c>
      <c r="C181" s="891" t="s">
        <v>8</v>
      </c>
      <c r="D181" s="926">
        <v>2</v>
      </c>
      <c r="E181" s="19" t="s">
        <v>49</v>
      </c>
      <c r="F181" s="389" t="s">
        <v>50</v>
      </c>
      <c r="G181" s="474">
        <v>10</v>
      </c>
      <c r="H181" s="472">
        <v>46225</v>
      </c>
      <c r="I181" s="7">
        <v>0.99</v>
      </c>
      <c r="J181" s="952" t="s">
        <v>772</v>
      </c>
      <c r="K181" s="345"/>
      <c r="L181" s="654"/>
      <c r="M181" s="943" t="s">
        <v>421</v>
      </c>
      <c r="N181" s="888">
        <v>44292</v>
      </c>
      <c r="O181" s="888">
        <v>45752</v>
      </c>
      <c r="P181" s="888">
        <v>46117</v>
      </c>
      <c r="Q181" s="888" t="s">
        <v>289</v>
      </c>
      <c r="R181" s="888" t="s">
        <v>841</v>
      </c>
      <c r="S181" s="934" t="s">
        <v>971</v>
      </c>
      <c r="T181" s="888">
        <v>44187</v>
      </c>
      <c r="U181" s="888">
        <v>46012</v>
      </c>
      <c r="V181" s="1168">
        <v>46377</v>
      </c>
      <c r="W181" s="888"/>
      <c r="X181" s="888"/>
      <c r="Y181" s="1177" t="s">
        <v>834</v>
      </c>
      <c r="Z181" s="897">
        <v>46073</v>
      </c>
      <c r="AA181" s="878" t="s">
        <v>439</v>
      </c>
      <c r="AB181" s="878" t="s">
        <v>612</v>
      </c>
      <c r="AC181" s="881">
        <f>33068181/12</f>
        <v>2755681.75</v>
      </c>
      <c r="AD181" s="56" t="s">
        <v>774</v>
      </c>
      <c r="AE181" s="78"/>
      <c r="AF181" s="57"/>
      <c r="AG181" s="23" t="s">
        <v>141</v>
      </c>
      <c r="AH181" s="928" t="s">
        <v>160</v>
      </c>
      <c r="AI181" s="915" t="s">
        <v>166</v>
      </c>
      <c r="AJ181" s="916" t="s">
        <v>161</v>
      </c>
      <c r="AK181" s="915"/>
      <c r="AL181" s="933"/>
      <c r="AM181" s="64"/>
    </row>
    <row r="182" spans="1:39" s="10" customFormat="1" ht="17.100000000000001" customHeight="1" x14ac:dyDescent="0.3">
      <c r="A182" s="1083"/>
      <c r="B182" s="890" t="s">
        <v>40</v>
      </c>
      <c r="C182" s="902"/>
      <c r="D182" s="941">
        <v>2</v>
      </c>
      <c r="E182" s="11" t="s">
        <v>104</v>
      </c>
      <c r="F182" s="243" t="s">
        <v>226</v>
      </c>
      <c r="G182" s="468">
        <v>10</v>
      </c>
      <c r="H182" s="467">
        <v>46416</v>
      </c>
      <c r="I182" s="13">
        <v>1</v>
      </c>
      <c r="J182" s="966"/>
      <c r="K182" s="341"/>
      <c r="L182" s="808"/>
      <c r="M182" s="944"/>
      <c r="N182" s="921"/>
      <c r="O182" s="921"/>
      <c r="P182" s="921"/>
      <c r="Q182" s="921"/>
      <c r="R182" s="921"/>
      <c r="S182" s="1108"/>
      <c r="T182" s="921"/>
      <c r="U182" s="921"/>
      <c r="V182" s="1169"/>
      <c r="W182" s="921"/>
      <c r="X182" s="921"/>
      <c r="Y182" s="1178"/>
      <c r="Z182" s="876"/>
      <c r="AA182" s="879"/>
      <c r="AB182" s="879"/>
      <c r="AC182" s="882"/>
      <c r="AD182" s="58" t="s">
        <v>773</v>
      </c>
      <c r="AE182" s="79"/>
      <c r="AF182" s="59"/>
      <c r="AG182" s="9"/>
      <c r="AH182" s="928"/>
      <c r="AI182" s="915"/>
      <c r="AJ182" s="917"/>
      <c r="AK182" s="915"/>
      <c r="AL182" s="933"/>
      <c r="AM182" s="58"/>
    </row>
    <row r="183" spans="1:39" s="10" customFormat="1" ht="16.5" customHeight="1" x14ac:dyDescent="0.3">
      <c r="A183" s="1083"/>
      <c r="B183" s="889" t="s">
        <v>77</v>
      </c>
      <c r="C183" s="940" t="s">
        <v>99</v>
      </c>
      <c r="D183" s="902">
        <v>2</v>
      </c>
      <c r="E183" s="91" t="s">
        <v>51</v>
      </c>
      <c r="F183" s="400">
        <v>2.0299999999999999E-2</v>
      </c>
      <c r="G183" s="477" t="s">
        <v>53</v>
      </c>
      <c r="H183" s="470"/>
      <c r="I183" s="36" t="s">
        <v>338</v>
      </c>
      <c r="J183" s="966"/>
      <c r="K183" s="341"/>
      <c r="L183" s="357"/>
      <c r="M183" s="944"/>
      <c r="N183" s="921"/>
      <c r="O183" s="921"/>
      <c r="P183" s="921"/>
      <c r="Q183" s="921"/>
      <c r="R183" s="921"/>
      <c r="S183" s="1108"/>
      <c r="T183" s="921"/>
      <c r="U183" s="921"/>
      <c r="V183" s="1169"/>
      <c r="W183" s="921"/>
      <c r="X183" s="921"/>
      <c r="Y183" s="1178"/>
      <c r="Z183" s="876"/>
      <c r="AA183" s="879"/>
      <c r="AB183" s="879"/>
      <c r="AC183" s="882"/>
      <c r="AD183" s="58" t="s">
        <v>775</v>
      </c>
      <c r="AE183" s="79"/>
      <c r="AF183" s="59"/>
      <c r="AG183" s="9"/>
      <c r="AH183" s="928"/>
      <c r="AI183" s="915"/>
      <c r="AJ183" s="917"/>
      <c r="AK183" s="915"/>
      <c r="AL183" s="933"/>
      <c r="AM183" s="58"/>
    </row>
    <row r="184" spans="1:39" s="10" customFormat="1" ht="17.100000000000001" customHeight="1" x14ac:dyDescent="0.3">
      <c r="A184" s="1083"/>
      <c r="B184" s="889" t="s">
        <v>40</v>
      </c>
      <c r="C184" s="889"/>
      <c r="D184" s="940">
        <v>2</v>
      </c>
      <c r="E184" s="33" t="s">
        <v>100</v>
      </c>
      <c r="F184" s="244">
        <v>0.21029999999999999</v>
      </c>
      <c r="G184" s="475" t="s">
        <v>53</v>
      </c>
      <c r="H184" s="473"/>
      <c r="I184" s="34" t="s">
        <v>340</v>
      </c>
      <c r="J184" s="966"/>
      <c r="K184" s="343"/>
      <c r="L184" s="355"/>
      <c r="M184" s="944"/>
      <c r="N184" s="921"/>
      <c r="O184" s="921"/>
      <c r="P184" s="921"/>
      <c r="Q184" s="921"/>
      <c r="R184" s="921"/>
      <c r="S184" s="1108"/>
      <c r="T184" s="921"/>
      <c r="U184" s="921"/>
      <c r="V184" s="1169"/>
      <c r="W184" s="921"/>
      <c r="X184" s="921"/>
      <c r="Y184" s="1178"/>
      <c r="Z184" s="876"/>
      <c r="AA184" s="879"/>
      <c r="AB184" s="879"/>
      <c r="AC184" s="882"/>
      <c r="AD184" s="58"/>
      <c r="AE184" s="79"/>
      <c r="AF184" s="59"/>
      <c r="AG184" s="9"/>
      <c r="AH184" s="928"/>
      <c r="AI184" s="915"/>
      <c r="AJ184" s="917"/>
      <c r="AK184" s="915"/>
      <c r="AL184" s="933"/>
      <c r="AM184" s="58"/>
    </row>
    <row r="185" spans="1:39" s="10" customFormat="1" ht="17.100000000000001" customHeight="1" x14ac:dyDescent="0.3">
      <c r="A185" s="1083"/>
      <c r="B185" s="889" t="s">
        <v>40</v>
      </c>
      <c r="C185" s="1078" t="s">
        <v>8</v>
      </c>
      <c r="D185" s="1075">
        <v>3</v>
      </c>
      <c r="E185" s="195" t="s">
        <v>49</v>
      </c>
      <c r="F185" s="388" t="s">
        <v>50</v>
      </c>
      <c r="G185" s="478">
        <v>10</v>
      </c>
      <c r="H185" s="293">
        <v>46394</v>
      </c>
      <c r="I185" s="198">
        <v>0.82</v>
      </c>
      <c r="J185" s="966"/>
      <c r="K185" s="343"/>
      <c r="L185" s="751"/>
      <c r="M185" s="944"/>
      <c r="N185" s="921"/>
      <c r="O185" s="921"/>
      <c r="P185" s="921"/>
      <c r="Q185" s="921"/>
      <c r="R185" s="921"/>
      <c r="S185" s="1108"/>
      <c r="T185" s="921"/>
      <c r="U185" s="921"/>
      <c r="V185" s="1169"/>
      <c r="W185" s="921"/>
      <c r="X185" s="921"/>
      <c r="Y185" s="1178"/>
      <c r="Z185" s="876"/>
      <c r="AA185" s="879"/>
      <c r="AB185" s="879"/>
      <c r="AC185" s="882"/>
      <c r="AD185" s="58"/>
      <c r="AE185" s="79"/>
      <c r="AF185" s="59"/>
      <c r="AG185" s="9"/>
      <c r="AH185" s="928"/>
      <c r="AI185" s="915"/>
      <c r="AJ185" s="917"/>
      <c r="AK185" s="915"/>
      <c r="AL185" s="933"/>
      <c r="AM185" s="58"/>
    </row>
    <row r="186" spans="1:39" s="10" customFormat="1" ht="17.100000000000001" customHeight="1" x14ac:dyDescent="0.3">
      <c r="A186" s="1083"/>
      <c r="B186" s="889" t="s">
        <v>78</v>
      </c>
      <c r="C186" s="902"/>
      <c r="D186" s="927">
        <v>3</v>
      </c>
      <c r="E186" s="11" t="s">
        <v>104</v>
      </c>
      <c r="F186" s="243" t="s">
        <v>227</v>
      </c>
      <c r="G186" s="468">
        <v>10</v>
      </c>
      <c r="H186" s="467">
        <v>46225</v>
      </c>
      <c r="I186" s="13">
        <v>0.36</v>
      </c>
      <c r="J186" s="966"/>
      <c r="K186" s="343"/>
      <c r="L186" s="595"/>
      <c r="M186" s="944"/>
      <c r="N186" s="921"/>
      <c r="O186" s="921"/>
      <c r="P186" s="921"/>
      <c r="Q186" s="921"/>
      <c r="R186" s="921"/>
      <c r="S186" s="1108"/>
      <c r="T186" s="921"/>
      <c r="U186" s="921"/>
      <c r="V186" s="1169"/>
      <c r="W186" s="921"/>
      <c r="X186" s="921"/>
      <c r="Y186" s="1178"/>
      <c r="Z186" s="876"/>
      <c r="AA186" s="879"/>
      <c r="AB186" s="879"/>
      <c r="AC186" s="882"/>
      <c r="AD186" s="58"/>
      <c r="AE186" s="79"/>
      <c r="AF186" s="59"/>
      <c r="AG186" s="9"/>
      <c r="AH186" s="928"/>
      <c r="AI186" s="915"/>
      <c r="AJ186" s="917"/>
      <c r="AK186" s="915"/>
      <c r="AL186" s="933"/>
      <c r="AM186" s="58"/>
    </row>
    <row r="187" spans="1:39" s="10" customFormat="1" ht="17.100000000000001" customHeight="1" x14ac:dyDescent="0.3">
      <c r="A187" s="1083"/>
      <c r="B187" s="889" t="s">
        <v>40</v>
      </c>
      <c r="C187" s="940" t="s">
        <v>98</v>
      </c>
      <c r="D187" s="927">
        <v>3</v>
      </c>
      <c r="E187" s="11" t="s">
        <v>51</v>
      </c>
      <c r="F187" s="233">
        <v>2.0299999999999999E-2</v>
      </c>
      <c r="G187" s="468" t="s">
        <v>53</v>
      </c>
      <c r="H187" s="399"/>
      <c r="I187" s="30" t="s">
        <v>336</v>
      </c>
      <c r="J187" s="966"/>
      <c r="K187" s="343"/>
      <c r="L187" s="355"/>
      <c r="M187" s="944"/>
      <c r="N187" s="921"/>
      <c r="O187" s="921"/>
      <c r="P187" s="921"/>
      <c r="Q187" s="921"/>
      <c r="R187" s="921"/>
      <c r="S187" s="1108"/>
      <c r="T187" s="921"/>
      <c r="U187" s="921"/>
      <c r="V187" s="1169"/>
      <c r="W187" s="921"/>
      <c r="X187" s="921"/>
      <c r="Y187" s="1178"/>
      <c r="Z187" s="876"/>
      <c r="AA187" s="879"/>
      <c r="AB187" s="879"/>
      <c r="AC187" s="882"/>
      <c r="AD187" s="58"/>
      <c r="AE187" s="79"/>
      <c r="AF187" s="59"/>
      <c r="AG187" s="9"/>
      <c r="AH187" s="928"/>
      <c r="AI187" s="915"/>
      <c r="AJ187" s="917"/>
      <c r="AK187" s="915"/>
      <c r="AL187" s="933"/>
      <c r="AM187" s="58"/>
    </row>
    <row r="188" spans="1:39" s="10" customFormat="1" ht="16.5" customHeight="1" x14ac:dyDescent="0.3">
      <c r="A188" s="1083"/>
      <c r="B188" s="889" t="s">
        <v>40</v>
      </c>
      <c r="C188" s="951"/>
      <c r="D188" s="923">
        <v>3</v>
      </c>
      <c r="E188" s="185" t="s">
        <v>100</v>
      </c>
      <c r="F188" s="244">
        <v>0.21029999999999999</v>
      </c>
      <c r="G188" s="476" t="s">
        <v>53</v>
      </c>
      <c r="H188" s="201"/>
      <c r="I188" s="202" t="s">
        <v>336</v>
      </c>
      <c r="J188" s="966"/>
      <c r="K188" s="343"/>
      <c r="L188" s="355"/>
      <c r="M188" s="944"/>
      <c r="N188" s="921"/>
      <c r="O188" s="921"/>
      <c r="P188" s="921"/>
      <c r="Q188" s="921"/>
      <c r="R188" s="921"/>
      <c r="S188" s="1108"/>
      <c r="T188" s="921"/>
      <c r="U188" s="921"/>
      <c r="V188" s="1169"/>
      <c r="W188" s="921"/>
      <c r="X188" s="921"/>
      <c r="Y188" s="1178"/>
      <c r="Z188" s="1018"/>
      <c r="AA188" s="879"/>
      <c r="AB188" s="879"/>
      <c r="AC188" s="882"/>
      <c r="AD188" s="58"/>
      <c r="AE188" s="79"/>
      <c r="AF188" s="59"/>
      <c r="AG188" s="9"/>
      <c r="AH188" s="928"/>
      <c r="AI188" s="915"/>
      <c r="AJ188" s="917"/>
      <c r="AK188" s="915"/>
      <c r="AL188" s="933"/>
      <c r="AM188" s="58"/>
    </row>
    <row r="189" spans="1:39" s="10" customFormat="1" ht="17.100000000000001" customHeight="1" x14ac:dyDescent="0.3">
      <c r="A189" s="1083"/>
      <c r="B189" s="889" t="s">
        <v>40</v>
      </c>
      <c r="C189" s="889" t="s">
        <v>611</v>
      </c>
      <c r="D189" s="981" t="s">
        <v>610</v>
      </c>
      <c r="E189" s="35" t="s">
        <v>49</v>
      </c>
      <c r="F189" s="225" t="s">
        <v>50</v>
      </c>
      <c r="G189" s="477">
        <v>10</v>
      </c>
      <c r="H189" s="470">
        <v>46225</v>
      </c>
      <c r="I189" s="36">
        <v>0.91</v>
      </c>
      <c r="J189" s="966"/>
      <c r="K189" s="343"/>
      <c r="L189" s="635"/>
      <c r="M189" s="944"/>
      <c r="N189" s="873">
        <v>44292</v>
      </c>
      <c r="O189" s="873">
        <v>45752</v>
      </c>
      <c r="P189" s="873">
        <v>46117</v>
      </c>
      <c r="Q189" s="873" t="s">
        <v>521</v>
      </c>
      <c r="R189" s="921"/>
      <c r="S189" s="1108"/>
      <c r="T189" s="873">
        <v>44187</v>
      </c>
      <c r="U189" s="873">
        <v>46012</v>
      </c>
      <c r="V189" s="1170">
        <v>46408</v>
      </c>
      <c r="W189" s="873"/>
      <c r="X189" s="873"/>
      <c r="Y189" s="1178"/>
      <c r="Z189" s="876"/>
      <c r="AA189" s="879"/>
      <c r="AB189" s="879"/>
      <c r="AC189" s="882"/>
      <c r="AD189" s="58"/>
      <c r="AE189" s="113"/>
      <c r="AF189" s="114"/>
      <c r="AG189" s="9"/>
      <c r="AH189" s="928"/>
      <c r="AI189" s="915"/>
      <c r="AJ189" s="917"/>
      <c r="AK189" s="915"/>
      <c r="AL189" s="933"/>
      <c r="AM189" s="58"/>
    </row>
    <row r="190" spans="1:39" s="10" customFormat="1" ht="17.100000000000001" customHeight="1" x14ac:dyDescent="0.3">
      <c r="A190" s="1083"/>
      <c r="B190" s="889" t="s">
        <v>77</v>
      </c>
      <c r="C190" s="889"/>
      <c r="D190" s="927">
        <v>8</v>
      </c>
      <c r="E190" s="11" t="s">
        <v>104</v>
      </c>
      <c r="F190" s="243" t="s">
        <v>228</v>
      </c>
      <c r="G190" s="468">
        <v>10</v>
      </c>
      <c r="H190" s="538">
        <v>46100</v>
      </c>
      <c r="I190" s="13">
        <v>0.52</v>
      </c>
      <c r="J190" s="966"/>
      <c r="K190" s="782" t="s">
        <v>889</v>
      </c>
      <c r="L190" s="622">
        <v>46094</v>
      </c>
      <c r="M190" s="944"/>
      <c r="N190" s="921"/>
      <c r="O190" s="921"/>
      <c r="P190" s="921"/>
      <c r="Q190" s="921"/>
      <c r="R190" s="921"/>
      <c r="S190" s="1108"/>
      <c r="T190" s="921"/>
      <c r="U190" s="921"/>
      <c r="V190" s="1171"/>
      <c r="W190" s="921"/>
      <c r="X190" s="921"/>
      <c r="Y190" s="1178"/>
      <c r="Z190" s="876"/>
      <c r="AA190" s="879"/>
      <c r="AB190" s="879"/>
      <c r="AC190" s="882"/>
      <c r="AD190" s="58"/>
      <c r="AE190" s="113"/>
      <c r="AF190" s="114"/>
      <c r="AG190" s="9"/>
      <c r="AH190" s="928"/>
      <c r="AI190" s="915"/>
      <c r="AJ190" s="917"/>
      <c r="AK190" s="915"/>
      <c r="AL190" s="933"/>
      <c r="AM190" s="58"/>
    </row>
    <row r="191" spans="1:39" s="10" customFormat="1" ht="17.100000000000001" customHeight="1" x14ac:dyDescent="0.3">
      <c r="A191" s="1083"/>
      <c r="B191" s="889" t="s">
        <v>40</v>
      </c>
      <c r="C191" s="889"/>
      <c r="D191" s="927">
        <v>8</v>
      </c>
      <c r="E191" s="11" t="s">
        <v>51</v>
      </c>
      <c r="F191" s="233">
        <v>2.0299999999999999E-2</v>
      </c>
      <c r="G191" s="468" t="s">
        <v>53</v>
      </c>
      <c r="H191" s="467"/>
      <c r="I191" s="13" t="s">
        <v>338</v>
      </c>
      <c r="J191" s="966"/>
      <c r="K191" s="343"/>
      <c r="L191" s="355"/>
      <c r="M191" s="944"/>
      <c r="N191" s="921"/>
      <c r="O191" s="921"/>
      <c r="P191" s="921"/>
      <c r="Q191" s="921"/>
      <c r="R191" s="921"/>
      <c r="S191" s="1108"/>
      <c r="T191" s="921"/>
      <c r="U191" s="921"/>
      <c r="V191" s="1171"/>
      <c r="W191" s="921"/>
      <c r="X191" s="921"/>
      <c r="Y191" s="1178"/>
      <c r="Z191" s="876"/>
      <c r="AA191" s="879"/>
      <c r="AB191" s="879"/>
      <c r="AC191" s="882"/>
      <c r="AD191" s="58"/>
      <c r="AE191" s="113"/>
      <c r="AF191" s="114"/>
      <c r="AG191" s="9"/>
      <c r="AH191" s="928"/>
      <c r="AI191" s="915"/>
      <c r="AJ191" s="917"/>
      <c r="AK191" s="915"/>
      <c r="AL191" s="933"/>
      <c r="AM191" s="58"/>
    </row>
    <row r="192" spans="1:39" s="10" customFormat="1" ht="17.100000000000001" customHeight="1" x14ac:dyDescent="0.3">
      <c r="A192" s="1083"/>
      <c r="B192" s="902" t="s">
        <v>40</v>
      </c>
      <c r="C192" s="902"/>
      <c r="D192" s="927">
        <v>8</v>
      </c>
      <c r="E192" s="20" t="s">
        <v>100</v>
      </c>
      <c r="F192" s="233">
        <v>0.2107</v>
      </c>
      <c r="G192" s="468" t="s">
        <v>53</v>
      </c>
      <c r="H192" s="467"/>
      <c r="I192" s="13" t="s">
        <v>339</v>
      </c>
      <c r="J192" s="966"/>
      <c r="K192" s="343"/>
      <c r="L192" s="355"/>
      <c r="M192" s="944"/>
      <c r="N192" s="954"/>
      <c r="O192" s="954"/>
      <c r="P192" s="954"/>
      <c r="Q192" s="954"/>
      <c r="R192" s="954"/>
      <c r="S192" s="1176"/>
      <c r="T192" s="954"/>
      <c r="U192" s="954"/>
      <c r="V192" s="1172"/>
      <c r="W192" s="954"/>
      <c r="X192" s="954"/>
      <c r="Y192" s="1178"/>
      <c r="Z192" s="876"/>
      <c r="AA192" s="879"/>
      <c r="AB192" s="879"/>
      <c r="AC192" s="882"/>
      <c r="AD192" s="58"/>
      <c r="AE192" s="115"/>
      <c r="AF192" s="116"/>
      <c r="AG192" s="9"/>
      <c r="AH192" s="928"/>
      <c r="AI192" s="915"/>
      <c r="AJ192" s="918"/>
      <c r="AK192" s="915"/>
      <c r="AL192" s="933"/>
      <c r="AM192" s="60"/>
    </row>
    <row r="193" spans="1:39" s="10" customFormat="1" ht="17.100000000000001" customHeight="1" x14ac:dyDescent="0.3">
      <c r="A193" s="1083"/>
      <c r="B193" s="889" t="s">
        <v>815</v>
      </c>
      <c r="C193" s="889" t="s">
        <v>8</v>
      </c>
      <c r="D193" s="981">
        <v>10</v>
      </c>
      <c r="E193" s="35" t="s">
        <v>818</v>
      </c>
      <c r="F193" s="213" t="s">
        <v>50</v>
      </c>
      <c r="G193" s="477">
        <v>10</v>
      </c>
      <c r="H193" s="470">
        <v>46416</v>
      </c>
      <c r="I193" s="36">
        <v>1</v>
      </c>
      <c r="J193" s="966"/>
      <c r="K193" s="341"/>
      <c r="L193" s="808"/>
      <c r="M193" s="944"/>
      <c r="N193" s="921">
        <v>45195</v>
      </c>
      <c r="O193" s="921">
        <v>45925</v>
      </c>
      <c r="P193" s="921">
        <v>46655</v>
      </c>
      <c r="Q193" s="921" t="s">
        <v>286</v>
      </c>
      <c r="R193" s="921" t="s">
        <v>842</v>
      </c>
      <c r="S193" s="889"/>
      <c r="T193" s="921">
        <v>45173</v>
      </c>
      <c r="U193" s="921">
        <v>45903</v>
      </c>
      <c r="V193" s="921">
        <v>46633</v>
      </c>
      <c r="W193" s="921" t="s">
        <v>522</v>
      </c>
      <c r="X193" s="921"/>
      <c r="Y193" s="1178"/>
      <c r="Z193" s="876"/>
      <c r="AA193" s="879"/>
      <c r="AB193" s="879"/>
      <c r="AC193" s="882"/>
      <c r="AD193" s="64"/>
      <c r="AE193" s="113"/>
      <c r="AF193" s="114"/>
      <c r="AG193" s="9"/>
      <c r="AH193" s="415"/>
      <c r="AI193" s="414"/>
      <c r="AJ193" s="416"/>
      <c r="AK193" s="414"/>
      <c r="AL193" s="417"/>
      <c r="AM193" s="58"/>
    </row>
    <row r="194" spans="1:39" s="10" customFormat="1" ht="17.100000000000001" customHeight="1" x14ac:dyDescent="0.3">
      <c r="A194" s="1084"/>
      <c r="B194" s="890"/>
      <c r="C194" s="890"/>
      <c r="D194" s="941">
        <v>8</v>
      </c>
      <c r="E194" s="15" t="s">
        <v>104</v>
      </c>
      <c r="F194" s="242" t="s">
        <v>228</v>
      </c>
      <c r="G194" s="469">
        <v>10</v>
      </c>
      <c r="H194" s="471">
        <v>46416</v>
      </c>
      <c r="I194" s="17">
        <v>1</v>
      </c>
      <c r="J194" s="953"/>
      <c r="K194" s="344"/>
      <c r="L194" s="812"/>
      <c r="M194" s="945"/>
      <c r="N194" s="946"/>
      <c r="O194" s="946"/>
      <c r="P194" s="946"/>
      <c r="Q194" s="946"/>
      <c r="R194" s="946"/>
      <c r="S194" s="890"/>
      <c r="T194" s="946"/>
      <c r="U194" s="946"/>
      <c r="V194" s="946"/>
      <c r="W194" s="946"/>
      <c r="X194" s="946"/>
      <c r="Y194" s="1179"/>
      <c r="Z194" s="877"/>
      <c r="AA194" s="880"/>
      <c r="AB194" s="880"/>
      <c r="AC194" s="883"/>
      <c r="AD194" s="62"/>
      <c r="AE194" s="113"/>
      <c r="AF194" s="114"/>
      <c r="AG194" s="9"/>
      <c r="AH194" s="415"/>
      <c r="AI194" s="414"/>
      <c r="AJ194" s="416"/>
      <c r="AK194" s="414"/>
      <c r="AL194" s="417"/>
      <c r="AM194" s="58"/>
    </row>
    <row r="195" spans="1:39" s="10" customFormat="1" ht="17.100000000000001" customHeight="1" x14ac:dyDescent="0.3">
      <c r="A195" s="1077">
        <v>46295</v>
      </c>
      <c r="B195" s="902" t="s">
        <v>1001</v>
      </c>
      <c r="C195" s="889" t="s">
        <v>59</v>
      </c>
      <c r="D195" s="902">
        <v>1</v>
      </c>
      <c r="E195" s="35" t="s">
        <v>49</v>
      </c>
      <c r="F195" s="391" t="s">
        <v>50</v>
      </c>
      <c r="G195" s="156">
        <v>10</v>
      </c>
      <c r="H195" s="386">
        <v>46366</v>
      </c>
      <c r="I195" s="36">
        <v>1</v>
      </c>
      <c r="J195" s="1074" t="s">
        <v>347</v>
      </c>
      <c r="K195" s="1088"/>
      <c r="L195" s="897"/>
      <c r="M195" s="944" t="s">
        <v>414</v>
      </c>
      <c r="N195" s="921">
        <v>44081</v>
      </c>
      <c r="O195" s="888">
        <v>45906</v>
      </c>
      <c r="P195" s="888">
        <v>46271</v>
      </c>
      <c r="Q195" s="888" t="s">
        <v>291</v>
      </c>
      <c r="R195" s="888" t="s">
        <v>621</v>
      </c>
      <c r="S195" s="959"/>
      <c r="T195" s="888">
        <v>44012</v>
      </c>
      <c r="U195" s="888">
        <v>45880</v>
      </c>
      <c r="V195" s="888">
        <v>46245</v>
      </c>
      <c r="W195" s="888" t="s">
        <v>291</v>
      </c>
      <c r="X195" s="888"/>
      <c r="Y195" s="959" t="s">
        <v>648</v>
      </c>
      <c r="Z195" s="897">
        <v>46072</v>
      </c>
      <c r="AA195" s="878" t="s">
        <v>443</v>
      </c>
      <c r="AB195" s="878"/>
      <c r="AC195" s="881">
        <f>14640000/3</f>
        <v>4880000</v>
      </c>
      <c r="AD195" s="56" t="s">
        <v>440</v>
      </c>
      <c r="AE195" s="78"/>
      <c r="AF195" s="57"/>
      <c r="AG195" s="9" t="s">
        <v>140</v>
      </c>
      <c r="AH195" s="928" t="s">
        <v>160</v>
      </c>
      <c r="AI195" s="915"/>
      <c r="AJ195" s="916" t="s">
        <v>160</v>
      </c>
      <c r="AK195" s="915"/>
      <c r="AL195" s="933" t="s">
        <v>163</v>
      </c>
      <c r="AM195" s="327" t="s">
        <v>808</v>
      </c>
    </row>
    <row r="196" spans="1:39" s="10" customFormat="1" ht="17.100000000000001" customHeight="1" x14ac:dyDescent="0.3">
      <c r="A196" s="937"/>
      <c r="B196" s="927" t="s">
        <v>22</v>
      </c>
      <c r="C196" s="889"/>
      <c r="D196" s="940"/>
      <c r="E196" s="33" t="s">
        <v>318</v>
      </c>
      <c r="F196" s="245" t="s">
        <v>650</v>
      </c>
      <c r="G196" s="155">
        <v>10</v>
      </c>
      <c r="H196" s="151">
        <v>46366</v>
      </c>
      <c r="I196" s="34">
        <v>0.98</v>
      </c>
      <c r="J196" s="985" t="s">
        <v>9</v>
      </c>
      <c r="K196" s="1089"/>
      <c r="L196" s="876"/>
      <c r="M196" s="944"/>
      <c r="N196" s="921"/>
      <c r="O196" s="921"/>
      <c r="P196" s="921"/>
      <c r="Q196" s="921"/>
      <c r="R196" s="921"/>
      <c r="S196" s="921"/>
      <c r="T196" s="954"/>
      <c r="U196" s="954"/>
      <c r="V196" s="954"/>
      <c r="W196" s="954"/>
      <c r="X196" s="921"/>
      <c r="Y196" s="921"/>
      <c r="Z196" s="876"/>
      <c r="AA196" s="879"/>
      <c r="AB196" s="879"/>
      <c r="AC196" s="882"/>
      <c r="AD196" s="58" t="s">
        <v>883</v>
      </c>
      <c r="AE196" s="79"/>
      <c r="AF196" s="59"/>
      <c r="AG196" s="9"/>
      <c r="AH196" s="928"/>
      <c r="AI196" s="915"/>
      <c r="AJ196" s="917"/>
      <c r="AK196" s="915"/>
      <c r="AL196" s="933"/>
      <c r="AM196" s="325" t="s">
        <v>809</v>
      </c>
    </row>
    <row r="197" spans="1:39" s="10" customFormat="1" ht="17.100000000000001" customHeight="1" x14ac:dyDescent="0.3">
      <c r="A197" s="937"/>
      <c r="B197" s="927" t="s">
        <v>22</v>
      </c>
      <c r="C197" s="889"/>
      <c r="D197" s="1075">
        <v>2</v>
      </c>
      <c r="E197" s="195" t="s">
        <v>49</v>
      </c>
      <c r="F197" s="391" t="s">
        <v>50</v>
      </c>
      <c r="G197" s="196">
        <v>10</v>
      </c>
      <c r="H197" s="197">
        <v>46366</v>
      </c>
      <c r="I197" s="198">
        <v>1</v>
      </c>
      <c r="J197" s="985" t="s">
        <v>89</v>
      </c>
      <c r="K197" s="1089"/>
      <c r="L197" s="876"/>
      <c r="M197" s="944"/>
      <c r="N197" s="921"/>
      <c r="O197" s="921"/>
      <c r="P197" s="921"/>
      <c r="Q197" s="921"/>
      <c r="R197" s="921"/>
      <c r="S197" s="921"/>
      <c r="T197" s="873">
        <v>44012</v>
      </c>
      <c r="U197" s="873">
        <v>45837</v>
      </c>
      <c r="V197" s="873">
        <v>46202</v>
      </c>
      <c r="W197" s="873" t="s">
        <v>291</v>
      </c>
      <c r="X197" s="921"/>
      <c r="Y197" s="921"/>
      <c r="Z197" s="876"/>
      <c r="AA197" s="879"/>
      <c r="AB197" s="879"/>
      <c r="AC197" s="882"/>
      <c r="AD197" s="58" t="s">
        <v>441</v>
      </c>
      <c r="AE197" s="79"/>
      <c r="AF197" s="59"/>
      <c r="AG197" s="9"/>
      <c r="AH197" s="928"/>
      <c r="AI197" s="915"/>
      <c r="AJ197" s="917"/>
      <c r="AK197" s="915"/>
      <c r="AL197" s="933"/>
      <c r="AM197" s="58"/>
    </row>
    <row r="198" spans="1:39" s="10" customFormat="1" ht="17.100000000000001" customHeight="1" x14ac:dyDescent="0.3">
      <c r="A198" s="937"/>
      <c r="B198" s="927" t="s">
        <v>79</v>
      </c>
      <c r="C198" s="889"/>
      <c r="D198" s="923"/>
      <c r="E198" s="185" t="s">
        <v>819</v>
      </c>
      <c r="F198" s="245" t="s">
        <v>270</v>
      </c>
      <c r="G198" s="182">
        <v>10</v>
      </c>
      <c r="H198" s="183">
        <v>46366</v>
      </c>
      <c r="I198" s="184">
        <v>1</v>
      </c>
      <c r="J198" s="985" t="s">
        <v>9</v>
      </c>
      <c r="K198" s="1089"/>
      <c r="L198" s="876"/>
      <c r="M198" s="944"/>
      <c r="N198" s="921"/>
      <c r="O198" s="921"/>
      <c r="P198" s="921"/>
      <c r="Q198" s="921"/>
      <c r="R198" s="921"/>
      <c r="S198" s="921"/>
      <c r="T198" s="921"/>
      <c r="U198" s="921"/>
      <c r="V198" s="921"/>
      <c r="W198" s="921"/>
      <c r="X198" s="921"/>
      <c r="Y198" s="921"/>
      <c r="Z198" s="876"/>
      <c r="AA198" s="879"/>
      <c r="AB198" s="879"/>
      <c r="AC198" s="882"/>
      <c r="AD198" s="58" t="s">
        <v>442</v>
      </c>
      <c r="AE198" s="79"/>
      <c r="AF198" s="59"/>
      <c r="AG198" s="9"/>
      <c r="AH198" s="928"/>
      <c r="AI198" s="915"/>
      <c r="AJ198" s="917"/>
      <c r="AK198" s="915"/>
      <c r="AL198" s="933"/>
      <c r="AM198" s="58"/>
    </row>
    <row r="199" spans="1:39" s="10" customFormat="1" ht="17.100000000000001" customHeight="1" x14ac:dyDescent="0.3">
      <c r="A199" s="937"/>
      <c r="B199" s="927" t="s">
        <v>22</v>
      </c>
      <c r="C199" s="889"/>
      <c r="D199" s="902">
        <v>3</v>
      </c>
      <c r="E199" s="35" t="s">
        <v>49</v>
      </c>
      <c r="F199" s="391" t="s">
        <v>50</v>
      </c>
      <c r="G199" s="156">
        <v>10</v>
      </c>
      <c r="H199" s="152">
        <v>46366</v>
      </c>
      <c r="I199" s="36">
        <v>1</v>
      </c>
      <c r="J199" s="985" t="s">
        <v>9</v>
      </c>
      <c r="K199" s="1089"/>
      <c r="L199" s="876"/>
      <c r="M199" s="944"/>
      <c r="N199" s="921"/>
      <c r="O199" s="921"/>
      <c r="P199" s="921"/>
      <c r="Q199" s="921"/>
      <c r="R199" s="921"/>
      <c r="S199" s="921"/>
      <c r="T199" s="921"/>
      <c r="U199" s="921"/>
      <c r="V199" s="921"/>
      <c r="W199" s="921"/>
      <c r="X199" s="921"/>
      <c r="Y199" s="921"/>
      <c r="Z199" s="876"/>
      <c r="AA199" s="879"/>
      <c r="AB199" s="879"/>
      <c r="AC199" s="882"/>
      <c r="AD199" s="58"/>
      <c r="AE199" s="79"/>
      <c r="AF199" s="59"/>
      <c r="AG199" s="9"/>
      <c r="AH199" s="928"/>
      <c r="AI199" s="915"/>
      <c r="AJ199" s="917"/>
      <c r="AK199" s="915"/>
      <c r="AL199" s="933"/>
      <c r="AM199" s="58"/>
    </row>
    <row r="200" spans="1:39" s="10" customFormat="1" ht="17.100000000000001" customHeight="1" x14ac:dyDescent="0.3">
      <c r="A200" s="937"/>
      <c r="B200" s="927" t="s">
        <v>22</v>
      </c>
      <c r="C200" s="889"/>
      <c r="D200" s="940"/>
      <c r="E200" s="33" t="s">
        <v>318</v>
      </c>
      <c r="F200" s="245" t="s">
        <v>271</v>
      </c>
      <c r="G200" s="155">
        <v>10</v>
      </c>
      <c r="H200" s="151">
        <v>46366</v>
      </c>
      <c r="I200" s="34">
        <v>0.95</v>
      </c>
      <c r="J200" s="985" t="s">
        <v>91</v>
      </c>
      <c r="K200" s="1089"/>
      <c r="L200" s="876"/>
      <c r="M200" s="944"/>
      <c r="N200" s="921"/>
      <c r="O200" s="921"/>
      <c r="P200" s="921"/>
      <c r="Q200" s="921"/>
      <c r="R200" s="921"/>
      <c r="S200" s="921"/>
      <c r="T200" s="954"/>
      <c r="U200" s="954"/>
      <c r="V200" s="954"/>
      <c r="W200" s="954"/>
      <c r="X200" s="921"/>
      <c r="Y200" s="921"/>
      <c r="Z200" s="1018"/>
      <c r="AA200" s="879"/>
      <c r="AB200" s="879"/>
      <c r="AC200" s="882"/>
      <c r="AD200" s="58"/>
      <c r="AE200" s="79"/>
      <c r="AF200" s="59"/>
      <c r="AG200" s="9"/>
      <c r="AH200" s="928"/>
      <c r="AI200" s="915"/>
      <c r="AJ200" s="917"/>
      <c r="AK200" s="915"/>
      <c r="AL200" s="933"/>
      <c r="AM200" s="58"/>
    </row>
    <row r="201" spans="1:39" s="10" customFormat="1" ht="17.100000000000001" customHeight="1" x14ac:dyDescent="0.3">
      <c r="A201" s="937"/>
      <c r="B201" s="927" t="s">
        <v>22</v>
      </c>
      <c r="C201" s="889"/>
      <c r="D201" s="1075">
        <v>14</v>
      </c>
      <c r="E201" s="195" t="s">
        <v>49</v>
      </c>
      <c r="F201" s="391" t="s">
        <v>50</v>
      </c>
      <c r="G201" s="196">
        <v>10</v>
      </c>
      <c r="H201" s="197">
        <v>46366</v>
      </c>
      <c r="I201" s="198">
        <v>1</v>
      </c>
      <c r="J201" s="985" t="s">
        <v>9</v>
      </c>
      <c r="K201" s="1089"/>
      <c r="L201" s="876"/>
      <c r="M201" s="944"/>
      <c r="N201" s="921"/>
      <c r="O201" s="921"/>
      <c r="P201" s="921"/>
      <c r="Q201" s="921"/>
      <c r="R201" s="921"/>
      <c r="S201" s="921"/>
      <c r="T201" s="873">
        <v>44012</v>
      </c>
      <c r="U201" s="873">
        <v>45869</v>
      </c>
      <c r="V201" s="873">
        <v>46233</v>
      </c>
      <c r="W201" s="873" t="s">
        <v>695</v>
      </c>
      <c r="X201" s="921"/>
      <c r="Y201" s="921"/>
      <c r="Z201" s="1034">
        <v>46078</v>
      </c>
      <c r="AA201" s="879"/>
      <c r="AB201" s="879"/>
      <c r="AC201" s="882"/>
      <c r="AD201" s="58"/>
      <c r="AE201" s="79"/>
      <c r="AF201" s="59"/>
      <c r="AG201" s="9"/>
      <c r="AH201" s="928"/>
      <c r="AI201" s="915"/>
      <c r="AJ201" s="917"/>
      <c r="AK201" s="915"/>
      <c r="AL201" s="933"/>
      <c r="AM201" s="58"/>
    </row>
    <row r="202" spans="1:39" s="10" customFormat="1" ht="16.5" customHeight="1" x14ac:dyDescent="0.3">
      <c r="A202" s="937"/>
      <c r="B202" s="927" t="s">
        <v>22</v>
      </c>
      <c r="C202" s="889"/>
      <c r="D202" s="923"/>
      <c r="E202" s="185" t="s">
        <v>317</v>
      </c>
      <c r="F202" s="245" t="s">
        <v>229</v>
      </c>
      <c r="G202" s="182">
        <v>10</v>
      </c>
      <c r="H202" s="183">
        <v>46366</v>
      </c>
      <c r="I202" s="184">
        <v>0.95</v>
      </c>
      <c r="J202" s="985" t="s">
        <v>91</v>
      </c>
      <c r="K202" s="1089"/>
      <c r="L202" s="876"/>
      <c r="M202" s="944"/>
      <c r="N202" s="921"/>
      <c r="O202" s="921"/>
      <c r="P202" s="921"/>
      <c r="Q202" s="921"/>
      <c r="R202" s="921"/>
      <c r="S202" s="921"/>
      <c r="T202" s="954"/>
      <c r="U202" s="954"/>
      <c r="V202" s="954"/>
      <c r="W202" s="954"/>
      <c r="X202" s="921"/>
      <c r="Y202" s="921"/>
      <c r="Z202" s="876"/>
      <c r="AA202" s="879"/>
      <c r="AB202" s="879"/>
      <c r="AC202" s="882"/>
      <c r="AD202" s="58"/>
      <c r="AE202" s="79"/>
      <c r="AF202" s="59"/>
      <c r="AG202" s="9"/>
      <c r="AH202" s="928"/>
      <c r="AI202" s="915"/>
      <c r="AJ202" s="917"/>
      <c r="AK202" s="915"/>
      <c r="AL202" s="933"/>
      <c r="AM202" s="58"/>
    </row>
    <row r="203" spans="1:39" s="10" customFormat="1" ht="17.100000000000001" customHeight="1" x14ac:dyDescent="0.3">
      <c r="A203" s="937"/>
      <c r="B203" s="927" t="s">
        <v>80</v>
      </c>
      <c r="C203" s="889"/>
      <c r="D203" s="902" t="s">
        <v>811</v>
      </c>
      <c r="E203" s="35" t="s">
        <v>111</v>
      </c>
      <c r="F203" s="391" t="s">
        <v>112</v>
      </c>
      <c r="G203" s="156">
        <v>10</v>
      </c>
      <c r="H203" s="152">
        <v>46366</v>
      </c>
      <c r="I203" s="36">
        <v>1</v>
      </c>
      <c r="J203" s="985" t="s">
        <v>9</v>
      </c>
      <c r="K203" s="1089"/>
      <c r="L203" s="876"/>
      <c r="M203" s="944"/>
      <c r="N203" s="921"/>
      <c r="O203" s="921"/>
      <c r="P203" s="921"/>
      <c r="Q203" s="921"/>
      <c r="R203" s="921"/>
      <c r="S203" s="921"/>
      <c r="T203" s="921">
        <v>44013</v>
      </c>
      <c r="U203" s="921">
        <v>45838</v>
      </c>
      <c r="V203" s="921">
        <v>46203</v>
      </c>
      <c r="W203" s="921" t="s">
        <v>291</v>
      </c>
      <c r="X203" s="921"/>
      <c r="Y203" s="921"/>
      <c r="Z203" s="876"/>
      <c r="AA203" s="879"/>
      <c r="AB203" s="879"/>
      <c r="AC203" s="882"/>
      <c r="AD203" s="58"/>
      <c r="AE203" s="79"/>
      <c r="AF203" s="59">
        <v>44707</v>
      </c>
      <c r="AG203" s="9"/>
      <c r="AH203" s="928"/>
      <c r="AI203" s="915"/>
      <c r="AJ203" s="917"/>
      <c r="AK203" s="915"/>
      <c r="AL203" s="933"/>
      <c r="AM203" s="58"/>
    </row>
    <row r="204" spans="1:39" s="10" customFormat="1" ht="17.100000000000001" customHeight="1" x14ac:dyDescent="0.3">
      <c r="A204" s="939"/>
      <c r="B204" s="941" t="s">
        <v>80</v>
      </c>
      <c r="C204" s="890"/>
      <c r="D204" s="941"/>
      <c r="E204" s="24" t="s">
        <v>317</v>
      </c>
      <c r="F204" s="242" t="s">
        <v>812</v>
      </c>
      <c r="G204" s="147">
        <v>10</v>
      </c>
      <c r="H204" s="150">
        <v>46366</v>
      </c>
      <c r="I204" s="17">
        <v>0.95</v>
      </c>
      <c r="J204" s="986" t="s">
        <v>9</v>
      </c>
      <c r="K204" s="1090"/>
      <c r="L204" s="877"/>
      <c r="M204" s="945"/>
      <c r="N204" s="946"/>
      <c r="O204" s="946"/>
      <c r="P204" s="946"/>
      <c r="Q204" s="946"/>
      <c r="R204" s="946"/>
      <c r="S204" s="946"/>
      <c r="T204" s="946"/>
      <c r="U204" s="946"/>
      <c r="V204" s="946"/>
      <c r="W204" s="946"/>
      <c r="X204" s="946"/>
      <c r="Y204" s="946"/>
      <c r="Z204" s="877"/>
      <c r="AA204" s="880"/>
      <c r="AB204" s="880"/>
      <c r="AC204" s="883"/>
      <c r="AD204" s="60"/>
      <c r="AE204" s="80"/>
      <c r="AF204" s="61"/>
      <c r="AG204" s="9"/>
      <c r="AH204" s="928"/>
      <c r="AI204" s="915"/>
      <c r="AJ204" s="918"/>
      <c r="AK204" s="915"/>
      <c r="AL204" s="933"/>
      <c r="AM204" s="60"/>
    </row>
    <row r="205" spans="1:39" s="10" customFormat="1" ht="17.100000000000001" customHeight="1" x14ac:dyDescent="0.3">
      <c r="A205" s="1083">
        <v>46356</v>
      </c>
      <c r="B205" s="955" t="s">
        <v>984</v>
      </c>
      <c r="C205" s="891" t="s">
        <v>62</v>
      </c>
      <c r="D205" s="913" t="s">
        <v>371</v>
      </c>
      <c r="E205" s="19" t="s">
        <v>49</v>
      </c>
      <c r="F205" s="217" t="s">
        <v>652</v>
      </c>
      <c r="G205" s="145">
        <v>10</v>
      </c>
      <c r="H205" s="148">
        <v>46352</v>
      </c>
      <c r="I205" s="7">
        <v>1</v>
      </c>
      <c r="J205" s="966" t="s">
        <v>347</v>
      </c>
      <c r="K205" s="341"/>
      <c r="L205" s="792"/>
      <c r="M205" s="968" t="s">
        <v>407</v>
      </c>
      <c r="N205" s="888">
        <v>44168</v>
      </c>
      <c r="O205" s="888"/>
      <c r="P205" s="888"/>
      <c r="Q205" s="888" t="s">
        <v>369</v>
      </c>
      <c r="R205" s="888" t="s">
        <v>680</v>
      </c>
      <c r="S205" s="871" t="s">
        <v>681</v>
      </c>
      <c r="T205" s="888">
        <v>44165</v>
      </c>
      <c r="U205" s="888"/>
      <c r="V205" s="888"/>
      <c r="W205" s="888" t="s">
        <v>370</v>
      </c>
      <c r="X205" s="871" t="s">
        <v>682</v>
      </c>
      <c r="Y205" s="959" t="s">
        <v>679</v>
      </c>
      <c r="Z205" s="1037">
        <v>46064</v>
      </c>
      <c r="AA205" s="878" t="s">
        <v>444</v>
      </c>
      <c r="AB205" s="878" t="s">
        <v>683</v>
      </c>
      <c r="AC205" s="881">
        <v>2500000</v>
      </c>
      <c r="AD205" s="64"/>
      <c r="AE205" s="78"/>
      <c r="AF205" s="57"/>
      <c r="AG205" s="9" t="s">
        <v>140</v>
      </c>
      <c r="AH205" s="928" t="s">
        <v>160</v>
      </c>
      <c r="AI205" s="915" t="s">
        <v>166</v>
      </c>
      <c r="AJ205" s="916" t="s">
        <v>160</v>
      </c>
      <c r="AK205" s="915"/>
      <c r="AL205" s="933"/>
      <c r="AM205" s="64"/>
    </row>
    <row r="206" spans="1:39" s="10" customFormat="1" ht="17.100000000000001" customHeight="1" x14ac:dyDescent="0.3">
      <c r="A206" s="1083"/>
      <c r="B206" s="889"/>
      <c r="C206" s="889"/>
      <c r="D206" s="951"/>
      <c r="E206" s="185" t="s">
        <v>316</v>
      </c>
      <c r="F206" s="245" t="s">
        <v>256</v>
      </c>
      <c r="G206" s="186">
        <v>10</v>
      </c>
      <c r="H206" s="204">
        <v>46352</v>
      </c>
      <c r="I206" s="205">
        <v>0.85</v>
      </c>
      <c r="J206" s="889"/>
      <c r="K206" s="341"/>
      <c r="L206" s="792"/>
      <c r="M206" s="970"/>
      <c r="N206" s="921"/>
      <c r="O206" s="921"/>
      <c r="P206" s="921"/>
      <c r="Q206" s="921"/>
      <c r="R206" s="921"/>
      <c r="S206" s="872"/>
      <c r="T206" s="921"/>
      <c r="U206" s="921"/>
      <c r="V206" s="921"/>
      <c r="W206" s="921"/>
      <c r="X206" s="872"/>
      <c r="Y206" s="1059"/>
      <c r="Z206" s="1033"/>
      <c r="AA206" s="879"/>
      <c r="AB206" s="879"/>
      <c r="AC206" s="882"/>
      <c r="AD206" s="64"/>
      <c r="AE206" s="82"/>
      <c r="AF206" s="65"/>
      <c r="AG206" s="9"/>
      <c r="AH206" s="928"/>
      <c r="AI206" s="915"/>
      <c r="AJ206" s="917"/>
      <c r="AK206" s="915"/>
      <c r="AL206" s="933"/>
      <c r="AM206" s="64"/>
    </row>
    <row r="207" spans="1:39" s="10" customFormat="1" ht="17.100000000000001" customHeight="1" x14ac:dyDescent="0.3">
      <c r="A207" s="1083"/>
      <c r="B207" s="889"/>
      <c r="C207" s="889"/>
      <c r="D207" s="955" t="s">
        <v>372</v>
      </c>
      <c r="E207" s="35" t="s">
        <v>49</v>
      </c>
      <c r="F207" s="217" t="s">
        <v>653</v>
      </c>
      <c r="G207" s="156">
        <v>10</v>
      </c>
      <c r="H207" s="152">
        <v>46352</v>
      </c>
      <c r="I207" s="36">
        <v>1</v>
      </c>
      <c r="J207" s="889"/>
      <c r="K207" s="343"/>
      <c r="L207" s="795"/>
      <c r="M207" s="970"/>
      <c r="N207" s="921"/>
      <c r="O207" s="921"/>
      <c r="P207" s="921"/>
      <c r="Q207" s="921"/>
      <c r="R207" s="921"/>
      <c r="S207" s="872"/>
      <c r="T207" s="921"/>
      <c r="U207" s="921"/>
      <c r="V207" s="921"/>
      <c r="W207" s="921"/>
      <c r="X207" s="872"/>
      <c r="Y207" s="1059"/>
      <c r="Z207" s="1033"/>
      <c r="AA207" s="879"/>
      <c r="AB207" s="879"/>
      <c r="AC207" s="882"/>
      <c r="AD207" s="58"/>
      <c r="AE207" s="79"/>
      <c r="AF207" s="59"/>
      <c r="AG207" s="9"/>
      <c r="AH207" s="928"/>
      <c r="AI207" s="915"/>
      <c r="AJ207" s="917"/>
      <c r="AK207" s="915"/>
      <c r="AL207" s="933"/>
      <c r="AM207" s="58"/>
    </row>
    <row r="208" spans="1:39" s="10" customFormat="1" ht="17.100000000000001" customHeight="1" x14ac:dyDescent="0.3">
      <c r="A208" s="1083"/>
      <c r="B208" s="889"/>
      <c r="C208" s="1076"/>
      <c r="D208" s="951"/>
      <c r="E208" s="185" t="s">
        <v>116</v>
      </c>
      <c r="F208" s="245" t="s">
        <v>255</v>
      </c>
      <c r="G208" s="182">
        <v>10</v>
      </c>
      <c r="H208" s="204">
        <v>46352</v>
      </c>
      <c r="I208" s="205">
        <v>1</v>
      </c>
      <c r="J208" s="889"/>
      <c r="K208" s="346"/>
      <c r="L208" s="793"/>
      <c r="M208" s="970"/>
      <c r="N208" s="954"/>
      <c r="O208" s="954"/>
      <c r="P208" s="954"/>
      <c r="Q208" s="954"/>
      <c r="R208" s="921"/>
      <c r="S208" s="872"/>
      <c r="T208" s="954"/>
      <c r="U208" s="954"/>
      <c r="V208" s="954"/>
      <c r="W208" s="954"/>
      <c r="X208" s="872"/>
      <c r="Y208" s="1059"/>
      <c r="Z208" s="1033"/>
      <c r="AA208" s="879"/>
      <c r="AB208" s="879"/>
      <c r="AC208" s="882"/>
      <c r="AD208" s="62"/>
      <c r="AE208" s="81"/>
      <c r="AF208" s="65"/>
      <c r="AG208" s="9"/>
      <c r="AH208" s="928"/>
      <c r="AI208" s="915"/>
      <c r="AJ208" s="917"/>
      <c r="AK208" s="915"/>
      <c r="AL208" s="933"/>
      <c r="AM208" s="62"/>
    </row>
    <row r="209" spans="1:39" s="10" customFormat="1" ht="17.100000000000001" customHeight="1" x14ac:dyDescent="0.3">
      <c r="A209" s="1083"/>
      <c r="B209" s="889"/>
      <c r="C209" s="1091" t="s">
        <v>39</v>
      </c>
      <c r="D209" s="955" t="s">
        <v>467</v>
      </c>
      <c r="E209" s="35" t="s">
        <v>49</v>
      </c>
      <c r="F209" s="391" t="s">
        <v>1</v>
      </c>
      <c r="G209" s="528">
        <v>10</v>
      </c>
      <c r="H209" s="564">
        <v>46219</v>
      </c>
      <c r="I209" s="36">
        <v>0.99</v>
      </c>
      <c r="J209" s="889"/>
      <c r="K209" s="346"/>
      <c r="L209" s="793"/>
      <c r="M209" s="970"/>
      <c r="N209" s="921">
        <v>44624</v>
      </c>
      <c r="O209" s="921">
        <v>45354</v>
      </c>
      <c r="P209" s="921">
        <v>46084</v>
      </c>
      <c r="Q209" s="921" t="s">
        <v>291</v>
      </c>
      <c r="R209" s="1167" t="s">
        <v>957</v>
      </c>
      <c r="S209" s="1193" t="s">
        <v>959</v>
      </c>
      <c r="T209" s="873">
        <v>44644</v>
      </c>
      <c r="U209" s="873">
        <v>45374</v>
      </c>
      <c r="V209" s="873">
        <v>46104</v>
      </c>
      <c r="W209" s="873" t="s">
        <v>286</v>
      </c>
      <c r="X209" s="1167" t="s">
        <v>958</v>
      </c>
      <c r="Y209" s="1059"/>
      <c r="Z209" s="1033">
        <v>46078</v>
      </c>
      <c r="AA209" s="879"/>
      <c r="AB209" s="879"/>
      <c r="AC209" s="882"/>
      <c r="AD209" s="58"/>
      <c r="AE209" s="81"/>
      <c r="AF209" s="63"/>
      <c r="AG209" s="9"/>
      <c r="AH209" s="928"/>
      <c r="AI209" s="915"/>
      <c r="AJ209" s="917"/>
      <c r="AK209" s="915"/>
      <c r="AL209" s="933"/>
      <c r="AM209" s="58"/>
    </row>
    <row r="210" spans="1:39" s="10" customFormat="1" ht="17.100000000000001" customHeight="1" x14ac:dyDescent="0.3">
      <c r="A210" s="1083"/>
      <c r="B210" s="889"/>
      <c r="C210" s="889"/>
      <c r="D210" s="902"/>
      <c r="E210" s="35" t="s">
        <v>116</v>
      </c>
      <c r="F210" s="248" t="s">
        <v>230</v>
      </c>
      <c r="G210" s="528">
        <v>10</v>
      </c>
      <c r="H210" s="564">
        <v>46219</v>
      </c>
      <c r="I210" s="36">
        <v>0.9</v>
      </c>
      <c r="J210" s="889"/>
      <c r="K210" s="346"/>
      <c r="L210" s="633"/>
      <c r="M210" s="970"/>
      <c r="N210" s="954"/>
      <c r="O210" s="954"/>
      <c r="P210" s="954"/>
      <c r="Q210" s="954"/>
      <c r="R210" s="1167"/>
      <c r="S210" s="1167"/>
      <c r="T210" s="954"/>
      <c r="U210" s="954"/>
      <c r="V210" s="954"/>
      <c r="W210" s="954"/>
      <c r="X210" s="1167"/>
      <c r="Y210" s="1059"/>
      <c r="Z210" s="1033"/>
      <c r="AA210" s="879"/>
      <c r="AB210" s="879"/>
      <c r="AC210" s="882"/>
      <c r="AD210" s="62"/>
      <c r="AE210" s="129"/>
      <c r="AF210" s="130"/>
      <c r="AG210" s="9"/>
      <c r="AH210" s="928"/>
      <c r="AI210" s="915"/>
      <c r="AJ210" s="917"/>
      <c r="AK210" s="915"/>
      <c r="AL210" s="933"/>
      <c r="AM210" s="60"/>
    </row>
    <row r="211" spans="1:39" s="10" customFormat="1" ht="17.100000000000001" customHeight="1" x14ac:dyDescent="0.3">
      <c r="A211" s="1083"/>
      <c r="B211" s="889"/>
      <c r="C211" s="889"/>
      <c r="D211" s="955" t="s">
        <v>684</v>
      </c>
      <c r="E211" s="35" t="s">
        <v>49</v>
      </c>
      <c r="F211" s="391" t="s">
        <v>478</v>
      </c>
      <c r="G211" s="156">
        <v>10</v>
      </c>
      <c r="H211" s="564">
        <v>46255</v>
      </c>
      <c r="I211" s="36">
        <v>1</v>
      </c>
      <c r="J211" s="889"/>
      <c r="K211" s="343"/>
      <c r="L211" s="669"/>
      <c r="M211" s="970"/>
      <c r="N211" s="921">
        <v>45615</v>
      </c>
      <c r="O211" s="921"/>
      <c r="P211" s="921">
        <v>46344</v>
      </c>
      <c r="Q211" s="921" t="s">
        <v>697</v>
      </c>
      <c r="R211" s="1052"/>
      <c r="S211" s="1052"/>
      <c r="T211" s="921">
        <v>45631</v>
      </c>
      <c r="U211" s="921"/>
      <c r="V211" s="921">
        <v>46360</v>
      </c>
      <c r="W211" s="921" t="s">
        <v>736</v>
      </c>
      <c r="X211" s="1052"/>
      <c r="Y211" s="1059"/>
      <c r="Z211" s="1033"/>
      <c r="AA211" s="879"/>
      <c r="AB211" s="879"/>
      <c r="AC211" s="882"/>
      <c r="AD211" s="58"/>
      <c r="AE211" s="81"/>
      <c r="AF211" s="63"/>
      <c r="AG211" s="9"/>
      <c r="AH211" s="928"/>
      <c r="AI211" s="915"/>
      <c r="AJ211" s="917"/>
      <c r="AK211" s="915"/>
      <c r="AL211" s="933"/>
      <c r="AM211" s="58"/>
    </row>
    <row r="212" spans="1:39" s="10" customFormat="1" ht="17.100000000000001" customHeight="1" x14ac:dyDescent="0.3">
      <c r="A212" s="1084"/>
      <c r="B212" s="890"/>
      <c r="C212" s="890"/>
      <c r="D212" s="890"/>
      <c r="E212" s="590" t="s">
        <v>743</v>
      </c>
      <c r="F212" s="248" t="s">
        <v>685</v>
      </c>
      <c r="G212" s="144">
        <v>10</v>
      </c>
      <c r="H212" s="563">
        <v>46255</v>
      </c>
      <c r="I212" s="128">
        <v>0.85</v>
      </c>
      <c r="J212" s="890"/>
      <c r="K212" s="344"/>
      <c r="L212" s="670"/>
      <c r="M212" s="969"/>
      <c r="N212" s="946"/>
      <c r="O212" s="946"/>
      <c r="P212" s="946"/>
      <c r="Q212" s="946"/>
      <c r="R212" s="1054"/>
      <c r="S212" s="1054"/>
      <c r="T212" s="946"/>
      <c r="U212" s="946"/>
      <c r="V212" s="946"/>
      <c r="W212" s="946"/>
      <c r="X212" s="1054"/>
      <c r="Y212" s="1060"/>
      <c r="Z212" s="1038"/>
      <c r="AA212" s="880"/>
      <c r="AB212" s="880"/>
      <c r="AC212" s="883"/>
      <c r="AD212" s="60"/>
      <c r="AE212" s="129"/>
      <c r="AF212" s="130"/>
      <c r="AG212" s="9"/>
      <c r="AH212" s="928"/>
      <c r="AI212" s="915"/>
      <c r="AJ212" s="918"/>
      <c r="AK212" s="915"/>
      <c r="AL212" s="933"/>
      <c r="AM212" s="60"/>
    </row>
    <row r="213" spans="1:39" s="10" customFormat="1" ht="17.100000000000001" customHeight="1" x14ac:dyDescent="0.3">
      <c r="A213" s="1077">
        <v>46568</v>
      </c>
      <c r="B213" s="902" t="s">
        <v>21</v>
      </c>
      <c r="C213" s="889" t="s">
        <v>58</v>
      </c>
      <c r="D213" s="926">
        <v>1</v>
      </c>
      <c r="E213" s="19" t="s">
        <v>2</v>
      </c>
      <c r="F213" s="224" t="s">
        <v>13</v>
      </c>
      <c r="G213" s="145"/>
      <c r="H213" s="148"/>
      <c r="I213" s="7">
        <v>1</v>
      </c>
      <c r="J213" s="994" t="s">
        <v>92</v>
      </c>
      <c r="K213" s="971"/>
      <c r="L213" s="974"/>
      <c r="M213" s="948" t="s">
        <v>423</v>
      </c>
      <c r="N213" s="888">
        <v>44161</v>
      </c>
      <c r="O213" s="888">
        <v>46016</v>
      </c>
      <c r="P213" s="888">
        <v>46381</v>
      </c>
      <c r="Q213" s="871" t="s">
        <v>291</v>
      </c>
      <c r="R213" s="888"/>
      <c r="S213" s="1190"/>
      <c r="T213" s="954">
        <v>44021</v>
      </c>
      <c r="U213" s="954">
        <v>45846</v>
      </c>
      <c r="V213" s="954">
        <v>46211</v>
      </c>
      <c r="W213" s="954" t="s">
        <v>291</v>
      </c>
      <c r="X213" s="959"/>
      <c r="Y213" s="1042" t="s">
        <v>806</v>
      </c>
      <c r="Z213" s="897">
        <v>46058</v>
      </c>
      <c r="AA213" s="878" t="s">
        <v>823</v>
      </c>
      <c r="AB213" s="878" t="s">
        <v>357</v>
      </c>
      <c r="AC213" s="881">
        <f>2850000/3</f>
        <v>950000</v>
      </c>
      <c r="AD213" s="375" t="s">
        <v>447</v>
      </c>
      <c r="AE213" s="78"/>
      <c r="AF213" s="57"/>
      <c r="AG213" s="23" t="s">
        <v>139</v>
      </c>
      <c r="AH213" s="1011" t="s">
        <v>160</v>
      </c>
      <c r="AI213" s="1015"/>
      <c r="AJ213" s="1007" t="s">
        <v>161</v>
      </c>
      <c r="AK213" s="1015"/>
      <c r="AL213" s="1006"/>
      <c r="AM213" s="64"/>
    </row>
    <row r="214" spans="1:39" s="10" customFormat="1" ht="17.100000000000001" customHeight="1" x14ac:dyDescent="0.3">
      <c r="A214" s="937"/>
      <c r="B214" s="927" t="s">
        <v>21</v>
      </c>
      <c r="C214" s="889"/>
      <c r="D214" s="927">
        <v>1</v>
      </c>
      <c r="E214" s="20" t="s">
        <v>319</v>
      </c>
      <c r="F214" s="243" t="s">
        <v>254</v>
      </c>
      <c r="G214" s="146"/>
      <c r="H214" s="149">
        <v>46168</v>
      </c>
      <c r="I214" s="13">
        <v>0.95</v>
      </c>
      <c r="J214" s="995" t="s">
        <v>10</v>
      </c>
      <c r="K214" s="972"/>
      <c r="L214" s="975"/>
      <c r="M214" s="949"/>
      <c r="N214" s="954"/>
      <c r="O214" s="954"/>
      <c r="P214" s="954"/>
      <c r="Q214" s="872"/>
      <c r="R214" s="921"/>
      <c r="S214" s="1191"/>
      <c r="T214" s="872"/>
      <c r="U214" s="872"/>
      <c r="V214" s="872"/>
      <c r="W214" s="872"/>
      <c r="X214" s="921"/>
      <c r="Y214" s="872"/>
      <c r="Z214" s="876"/>
      <c r="AA214" s="879"/>
      <c r="AB214" s="879"/>
      <c r="AC214" s="882"/>
      <c r="AD214" s="376" t="s">
        <v>448</v>
      </c>
      <c r="AE214" s="79"/>
      <c r="AF214" s="59"/>
      <c r="AG214" s="9"/>
      <c r="AH214" s="1011"/>
      <c r="AI214" s="1015"/>
      <c r="AJ214" s="1008"/>
      <c r="AK214" s="1015"/>
      <c r="AL214" s="1006"/>
      <c r="AM214" s="58"/>
    </row>
    <row r="215" spans="1:39" s="10" customFormat="1" ht="17.100000000000001" customHeight="1" x14ac:dyDescent="0.3">
      <c r="A215" s="937"/>
      <c r="B215" s="927" t="s">
        <v>81</v>
      </c>
      <c r="C215" s="889"/>
      <c r="D215" s="927">
        <v>1</v>
      </c>
      <c r="E215" s="11" t="s">
        <v>3</v>
      </c>
      <c r="F215" s="233">
        <v>0.02</v>
      </c>
      <c r="G215" s="146"/>
      <c r="H215" s="149">
        <v>46371</v>
      </c>
      <c r="I215" s="13">
        <v>1</v>
      </c>
      <c r="J215" s="995" t="s">
        <v>10</v>
      </c>
      <c r="K215" s="972"/>
      <c r="L215" s="975"/>
      <c r="M215" s="949"/>
      <c r="N215" s="873">
        <v>44138</v>
      </c>
      <c r="O215" s="873">
        <v>45963</v>
      </c>
      <c r="P215" s="873">
        <v>46328</v>
      </c>
      <c r="Q215" s="872" t="s">
        <v>291</v>
      </c>
      <c r="R215" s="921"/>
      <c r="S215" s="1191"/>
      <c r="T215" s="872"/>
      <c r="U215" s="872"/>
      <c r="V215" s="872"/>
      <c r="W215" s="872"/>
      <c r="X215" s="921"/>
      <c r="Y215" s="872"/>
      <c r="Z215" s="876"/>
      <c r="AA215" s="879"/>
      <c r="AB215" s="879"/>
      <c r="AC215" s="882"/>
      <c r="AD215" s="376" t="s">
        <v>449</v>
      </c>
      <c r="AE215" s="79"/>
      <c r="AF215" s="59"/>
      <c r="AG215" s="9"/>
      <c r="AH215" s="1011"/>
      <c r="AI215" s="1015"/>
      <c r="AJ215" s="1008"/>
      <c r="AK215" s="1015"/>
      <c r="AL215" s="1006"/>
      <c r="AM215" s="58"/>
    </row>
    <row r="216" spans="1:39" s="10" customFormat="1" ht="17.100000000000001" customHeight="1" x14ac:dyDescent="0.3">
      <c r="A216" s="937"/>
      <c r="B216" s="927" t="s">
        <v>21</v>
      </c>
      <c r="C216" s="889"/>
      <c r="D216" s="923">
        <v>1</v>
      </c>
      <c r="E216" s="185" t="s">
        <v>100</v>
      </c>
      <c r="F216" s="234">
        <v>0.21110000000000001</v>
      </c>
      <c r="G216" s="182"/>
      <c r="H216" s="183">
        <v>46371</v>
      </c>
      <c r="I216" s="184">
        <v>0.95</v>
      </c>
      <c r="J216" s="995" t="s">
        <v>10</v>
      </c>
      <c r="K216" s="972"/>
      <c r="L216" s="975"/>
      <c r="M216" s="949"/>
      <c r="N216" s="954"/>
      <c r="O216" s="954"/>
      <c r="P216" s="954"/>
      <c r="Q216" s="872"/>
      <c r="R216" s="921"/>
      <c r="S216" s="1191"/>
      <c r="T216" s="872"/>
      <c r="U216" s="872"/>
      <c r="V216" s="872"/>
      <c r="W216" s="872"/>
      <c r="X216" s="921"/>
      <c r="Y216" s="872"/>
      <c r="Z216" s="876"/>
      <c r="AA216" s="879"/>
      <c r="AB216" s="879"/>
      <c r="AC216" s="882"/>
      <c r="AD216" s="376"/>
      <c r="AE216" s="79"/>
      <c r="AF216" s="59"/>
      <c r="AG216" s="9"/>
      <c r="AH216" s="1011"/>
      <c r="AI216" s="1015"/>
      <c r="AJ216" s="1008"/>
      <c r="AK216" s="1015"/>
      <c r="AL216" s="1006"/>
      <c r="AM216" s="58"/>
    </row>
    <row r="217" spans="1:39" s="10" customFormat="1" ht="17.100000000000001" customHeight="1" x14ac:dyDescent="0.3">
      <c r="A217" s="937"/>
      <c r="B217" s="927" t="s">
        <v>21</v>
      </c>
      <c r="C217" s="889"/>
      <c r="D217" s="902">
        <v>2</v>
      </c>
      <c r="E217" s="35" t="s">
        <v>16</v>
      </c>
      <c r="F217" s="217" t="s">
        <v>13</v>
      </c>
      <c r="G217" s="156"/>
      <c r="H217" s="152"/>
      <c r="I217" s="36">
        <v>1</v>
      </c>
      <c r="J217" s="995" t="s">
        <v>88</v>
      </c>
      <c r="K217" s="972"/>
      <c r="L217" s="975"/>
      <c r="M217" s="949"/>
      <c r="N217" s="873">
        <v>44138</v>
      </c>
      <c r="O217" s="873">
        <v>45963</v>
      </c>
      <c r="P217" s="873">
        <v>46328</v>
      </c>
      <c r="Q217" s="872" t="s">
        <v>676</v>
      </c>
      <c r="R217" s="921"/>
      <c r="S217" s="1191"/>
      <c r="T217" s="872"/>
      <c r="U217" s="872"/>
      <c r="V217" s="872"/>
      <c r="W217" s="872"/>
      <c r="X217" s="921"/>
      <c r="Y217" s="872"/>
      <c r="Z217" s="876"/>
      <c r="AA217" s="879"/>
      <c r="AB217" s="879"/>
      <c r="AC217" s="882"/>
      <c r="AD217" s="376"/>
      <c r="AE217" s="79"/>
      <c r="AF217" s="59"/>
      <c r="AG217" s="9"/>
      <c r="AH217" s="1011"/>
      <c r="AI217" s="1015"/>
      <c r="AJ217" s="1008"/>
      <c r="AK217" s="1015"/>
      <c r="AL217" s="1006"/>
      <c r="AM217" s="58"/>
    </row>
    <row r="218" spans="1:39" s="10" customFormat="1" ht="16.5" customHeight="1" x14ac:dyDescent="0.3">
      <c r="A218" s="937"/>
      <c r="B218" s="927" t="s">
        <v>21</v>
      </c>
      <c r="C218" s="889"/>
      <c r="D218" s="927">
        <v>2</v>
      </c>
      <c r="E218" s="20" t="s">
        <v>740</v>
      </c>
      <c r="F218" s="243" t="s">
        <v>231</v>
      </c>
      <c r="G218" s="146"/>
      <c r="H218" s="651">
        <v>46168</v>
      </c>
      <c r="I218" s="13">
        <v>0.9</v>
      </c>
      <c r="J218" s="995" t="s">
        <v>88</v>
      </c>
      <c r="K218" s="972"/>
      <c r="L218" s="975"/>
      <c r="M218" s="949"/>
      <c r="N218" s="954"/>
      <c r="O218" s="954"/>
      <c r="P218" s="954"/>
      <c r="Q218" s="872"/>
      <c r="R218" s="921"/>
      <c r="S218" s="1191"/>
      <c r="T218" s="872"/>
      <c r="U218" s="872"/>
      <c r="V218" s="872"/>
      <c r="W218" s="872"/>
      <c r="X218" s="921"/>
      <c r="Y218" s="872"/>
      <c r="Z218" s="876"/>
      <c r="AA218" s="879"/>
      <c r="AB218" s="879"/>
      <c r="AC218" s="882"/>
      <c r="AD218" s="376"/>
      <c r="AE218" s="79"/>
      <c r="AF218" s="59"/>
      <c r="AG218" s="9"/>
      <c r="AH218" s="1011"/>
      <c r="AI218" s="1015"/>
      <c r="AJ218" s="1008"/>
      <c r="AK218" s="1015"/>
      <c r="AL218" s="1006"/>
      <c r="AM218" s="58"/>
    </row>
    <row r="219" spans="1:39" s="10" customFormat="1" ht="17.100000000000001" customHeight="1" x14ac:dyDescent="0.3">
      <c r="A219" s="937"/>
      <c r="B219" s="927" t="s">
        <v>21</v>
      </c>
      <c r="C219" s="889"/>
      <c r="D219" s="927">
        <v>2</v>
      </c>
      <c r="E219" s="11" t="s">
        <v>3</v>
      </c>
      <c r="F219" s="233">
        <v>2.01E-2</v>
      </c>
      <c r="G219" s="146"/>
      <c r="H219" s="149">
        <v>46371</v>
      </c>
      <c r="I219" s="13">
        <v>0.95</v>
      </c>
      <c r="J219" s="995" t="s">
        <v>10</v>
      </c>
      <c r="K219" s="972"/>
      <c r="L219" s="975"/>
      <c r="M219" s="949"/>
      <c r="N219" s="873">
        <v>44138</v>
      </c>
      <c r="O219" s="873">
        <v>45963</v>
      </c>
      <c r="P219" s="873">
        <v>46328</v>
      </c>
      <c r="Q219" s="872" t="s">
        <v>677</v>
      </c>
      <c r="R219" s="921"/>
      <c r="S219" s="1191"/>
      <c r="T219" s="872"/>
      <c r="U219" s="872"/>
      <c r="V219" s="872"/>
      <c r="W219" s="872"/>
      <c r="X219" s="921"/>
      <c r="Y219" s="872"/>
      <c r="Z219" s="876"/>
      <c r="AA219" s="879"/>
      <c r="AB219" s="879"/>
      <c r="AC219" s="882"/>
      <c r="AD219" s="376"/>
      <c r="AE219" s="79"/>
      <c r="AF219" s="59"/>
      <c r="AG219" s="9"/>
      <c r="AH219" s="1011"/>
      <c r="AI219" s="1015"/>
      <c r="AJ219" s="1008"/>
      <c r="AK219" s="1015"/>
      <c r="AL219" s="1006"/>
      <c r="AM219" s="58"/>
    </row>
    <row r="220" spans="1:39" s="10" customFormat="1" ht="17.100000000000001" customHeight="1" x14ac:dyDescent="0.3">
      <c r="A220" s="939"/>
      <c r="B220" s="941" t="s">
        <v>21</v>
      </c>
      <c r="C220" s="890"/>
      <c r="D220" s="941">
        <v>2</v>
      </c>
      <c r="E220" s="24" t="s">
        <v>100</v>
      </c>
      <c r="F220" s="237">
        <v>0.21029999999999999</v>
      </c>
      <c r="G220" s="147"/>
      <c r="H220" s="150">
        <v>46371</v>
      </c>
      <c r="I220" s="17">
        <v>0.95</v>
      </c>
      <c r="J220" s="996" t="s">
        <v>93</v>
      </c>
      <c r="K220" s="973"/>
      <c r="L220" s="976"/>
      <c r="M220" s="950"/>
      <c r="N220" s="946"/>
      <c r="O220" s="946"/>
      <c r="P220" s="946"/>
      <c r="Q220" s="874"/>
      <c r="R220" s="946"/>
      <c r="S220" s="1192"/>
      <c r="T220" s="874"/>
      <c r="U220" s="874"/>
      <c r="V220" s="874"/>
      <c r="W220" s="874"/>
      <c r="X220" s="946"/>
      <c r="Y220" s="874"/>
      <c r="Z220" s="877"/>
      <c r="AA220" s="880"/>
      <c r="AB220" s="880"/>
      <c r="AC220" s="883"/>
      <c r="AD220" s="373"/>
      <c r="AE220" s="80"/>
      <c r="AF220" s="61"/>
      <c r="AG220" s="9"/>
      <c r="AH220" s="1011"/>
      <c r="AI220" s="1015"/>
      <c r="AJ220" s="1009"/>
      <c r="AK220" s="1015"/>
      <c r="AL220" s="1006"/>
      <c r="AM220" s="60"/>
    </row>
    <row r="221" spans="1:39" s="10" customFormat="1" ht="17.100000000000001" customHeight="1" x14ac:dyDescent="0.3">
      <c r="A221" s="1077">
        <v>46173</v>
      </c>
      <c r="B221" s="902" t="s">
        <v>1029</v>
      </c>
      <c r="C221" s="902" t="s">
        <v>7</v>
      </c>
      <c r="D221" s="902">
        <v>1</v>
      </c>
      <c r="E221" s="35" t="s">
        <v>2</v>
      </c>
      <c r="F221" s="390" t="s">
        <v>1</v>
      </c>
      <c r="G221" s="331">
        <v>10</v>
      </c>
      <c r="H221" s="329">
        <v>46281</v>
      </c>
      <c r="I221" s="36">
        <v>1</v>
      </c>
      <c r="J221" s="1074" t="s">
        <v>347</v>
      </c>
      <c r="K221" s="989"/>
      <c r="L221" s="897"/>
      <c r="M221" s="943" t="s">
        <v>415</v>
      </c>
      <c r="N221" s="954">
        <v>44285</v>
      </c>
      <c r="O221" s="954">
        <v>45745</v>
      </c>
      <c r="P221" s="954">
        <v>46110</v>
      </c>
      <c r="Q221" s="888" t="s">
        <v>750</v>
      </c>
      <c r="R221" s="895" t="s">
        <v>942</v>
      </c>
      <c r="S221" s="1189" t="s">
        <v>943</v>
      </c>
      <c r="T221" s="954">
        <v>44273</v>
      </c>
      <c r="U221" s="954">
        <v>45733</v>
      </c>
      <c r="V221" s="954">
        <v>46098</v>
      </c>
      <c r="W221" s="954" t="s">
        <v>400</v>
      </c>
      <c r="X221" s="895" t="s">
        <v>942</v>
      </c>
      <c r="Y221" s="954"/>
      <c r="Z221" s="897">
        <v>45946</v>
      </c>
      <c r="AA221" s="878" t="s">
        <v>427</v>
      </c>
      <c r="AB221" s="878" t="s">
        <v>429</v>
      </c>
      <c r="AC221" s="881">
        <v>1300000</v>
      </c>
      <c r="AD221" s="56"/>
      <c r="AE221" s="78"/>
      <c r="AF221" s="57"/>
      <c r="AG221" s="9" t="s">
        <v>136</v>
      </c>
      <c r="AH221" s="928" t="s">
        <v>160</v>
      </c>
      <c r="AI221" s="915" t="s">
        <v>166</v>
      </c>
      <c r="AJ221" s="916" t="s">
        <v>160</v>
      </c>
      <c r="AK221" s="915"/>
      <c r="AL221" s="933"/>
      <c r="AM221" s="1184"/>
    </row>
    <row r="222" spans="1:39" s="10" customFormat="1" ht="17.100000000000001" customHeight="1" x14ac:dyDescent="0.3">
      <c r="A222" s="939"/>
      <c r="B222" s="941" t="s">
        <v>46</v>
      </c>
      <c r="C222" s="941" t="s">
        <v>7</v>
      </c>
      <c r="D222" s="941">
        <v>1</v>
      </c>
      <c r="E222" s="24" t="s">
        <v>646</v>
      </c>
      <c r="F222" s="243" t="s">
        <v>399</v>
      </c>
      <c r="G222" s="330">
        <v>10</v>
      </c>
      <c r="H222" s="329">
        <v>46281</v>
      </c>
      <c r="I222" s="36">
        <v>1</v>
      </c>
      <c r="J222" s="986" t="s">
        <v>90</v>
      </c>
      <c r="K222" s="990"/>
      <c r="L222" s="877"/>
      <c r="M222" s="945"/>
      <c r="N222" s="874"/>
      <c r="O222" s="874">
        <v>2023.03</v>
      </c>
      <c r="P222" s="874"/>
      <c r="Q222" s="946"/>
      <c r="R222" s="1115"/>
      <c r="S222" s="1188"/>
      <c r="T222" s="874"/>
      <c r="U222" s="874"/>
      <c r="V222" s="874"/>
      <c r="W222" s="874"/>
      <c r="X222" s="1115"/>
      <c r="Y222" s="874"/>
      <c r="Z222" s="877"/>
      <c r="AA222" s="880"/>
      <c r="AB222" s="880"/>
      <c r="AC222" s="883"/>
      <c r="AD222" s="60"/>
      <c r="AE222" s="80"/>
      <c r="AF222" s="61"/>
      <c r="AG222" s="9"/>
      <c r="AH222" s="928"/>
      <c r="AI222" s="915"/>
      <c r="AJ222" s="918"/>
      <c r="AK222" s="915"/>
      <c r="AL222" s="933"/>
      <c r="AM222" s="1185"/>
    </row>
    <row r="223" spans="1:39" s="10" customFormat="1" ht="17.100000000000001" customHeight="1" x14ac:dyDescent="0.3">
      <c r="A223" s="1077">
        <v>46295</v>
      </c>
      <c r="B223" s="902" t="s">
        <v>29</v>
      </c>
      <c r="C223" s="891" t="s">
        <v>59</v>
      </c>
      <c r="D223" s="926">
        <v>2</v>
      </c>
      <c r="E223" s="19" t="s">
        <v>49</v>
      </c>
      <c r="F223" s="224" t="s">
        <v>50</v>
      </c>
      <c r="G223" s="396">
        <v>47</v>
      </c>
      <c r="H223" s="148"/>
      <c r="I223" s="7">
        <v>1</v>
      </c>
      <c r="J223" s="991" t="s">
        <v>347</v>
      </c>
      <c r="K223" s="341"/>
      <c r="L223" s="762"/>
      <c r="M223" s="943" t="s">
        <v>408</v>
      </c>
      <c r="N223" s="810">
        <v>42922</v>
      </c>
      <c r="O223" s="810">
        <v>45843</v>
      </c>
      <c r="P223" s="810">
        <v>45843</v>
      </c>
      <c r="Q223" s="811"/>
      <c r="R223" s="1225" t="s">
        <v>969</v>
      </c>
      <c r="S223" s="888" t="s">
        <v>687</v>
      </c>
      <c r="T223" s="954">
        <v>42846</v>
      </c>
      <c r="U223" s="954">
        <v>45767</v>
      </c>
      <c r="V223" s="954">
        <v>46132</v>
      </c>
      <c r="W223" s="954" t="s">
        <v>688</v>
      </c>
      <c r="X223" s="895" t="s">
        <v>970</v>
      </c>
      <c r="Y223" s="1042" t="s">
        <v>768</v>
      </c>
      <c r="Z223" s="897">
        <v>46059</v>
      </c>
      <c r="AA223" s="878" t="s">
        <v>439</v>
      </c>
      <c r="AB223" s="878"/>
      <c r="AC223" s="881">
        <v>2150000</v>
      </c>
      <c r="AD223" s="64"/>
      <c r="AE223" s="78"/>
      <c r="AF223" s="57"/>
      <c r="AG223" s="9" t="s">
        <v>140</v>
      </c>
      <c r="AH223" s="928" t="s">
        <v>167</v>
      </c>
      <c r="AI223" s="915" t="s">
        <v>160</v>
      </c>
      <c r="AJ223" s="916" t="s">
        <v>167</v>
      </c>
      <c r="AK223" s="915"/>
      <c r="AL223" s="933"/>
      <c r="AM223" s="64"/>
    </row>
    <row r="224" spans="1:39" s="10" customFormat="1" ht="17.100000000000001" customHeight="1" x14ac:dyDescent="0.3">
      <c r="A224" s="937"/>
      <c r="B224" s="927" t="s">
        <v>29</v>
      </c>
      <c r="C224" s="889"/>
      <c r="D224" s="927">
        <v>2</v>
      </c>
      <c r="E224" s="20" t="s">
        <v>320</v>
      </c>
      <c r="F224" s="243" t="s">
        <v>253</v>
      </c>
      <c r="G224" s="397">
        <v>47</v>
      </c>
      <c r="H224" s="149">
        <v>46163</v>
      </c>
      <c r="I224" s="13">
        <v>0.86</v>
      </c>
      <c r="J224" s="992"/>
      <c r="K224" s="343"/>
      <c r="L224" s="620"/>
      <c r="M224" s="944"/>
      <c r="N224" s="813">
        <v>44393</v>
      </c>
      <c r="O224" s="809">
        <v>45853</v>
      </c>
      <c r="P224" s="809">
        <v>46218</v>
      </c>
      <c r="Q224" s="814" t="s">
        <v>966</v>
      </c>
      <c r="R224" s="1226"/>
      <c r="S224" s="921"/>
      <c r="T224" s="872"/>
      <c r="U224" s="872"/>
      <c r="V224" s="872"/>
      <c r="W224" s="872"/>
      <c r="X224" s="896"/>
      <c r="Y224" s="1043"/>
      <c r="Z224" s="876"/>
      <c r="AA224" s="879"/>
      <c r="AB224" s="879"/>
      <c r="AC224" s="882"/>
      <c r="AD224" s="58"/>
      <c r="AE224" s="79"/>
      <c r="AF224" s="59"/>
      <c r="AG224" s="9"/>
      <c r="AH224" s="928"/>
      <c r="AI224" s="915"/>
      <c r="AJ224" s="917"/>
      <c r="AK224" s="915"/>
      <c r="AL224" s="933"/>
      <c r="AM224" s="58"/>
    </row>
    <row r="225" spans="1:39" s="10" customFormat="1" ht="17.100000000000001" customHeight="1" x14ac:dyDescent="0.3">
      <c r="A225" s="937"/>
      <c r="B225" s="927" t="s">
        <v>29</v>
      </c>
      <c r="C225" s="889"/>
      <c r="D225" s="927">
        <v>2</v>
      </c>
      <c r="E225" s="20" t="s">
        <v>100</v>
      </c>
      <c r="F225" s="233">
        <v>0.21079999999999999</v>
      </c>
      <c r="G225" s="146">
        <v>10</v>
      </c>
      <c r="H225" s="149">
        <v>46191</v>
      </c>
      <c r="I225" s="13">
        <v>0.85</v>
      </c>
      <c r="J225" s="992"/>
      <c r="K225" s="618"/>
      <c r="L225" s="620"/>
      <c r="M225" s="944"/>
      <c r="N225" s="873">
        <v>42922</v>
      </c>
      <c r="O225" s="873">
        <v>45843</v>
      </c>
      <c r="P225" s="873">
        <v>46208</v>
      </c>
      <c r="Q225" s="873"/>
      <c r="R225" s="1226"/>
      <c r="S225" s="921"/>
      <c r="T225" s="872"/>
      <c r="U225" s="872"/>
      <c r="V225" s="872"/>
      <c r="W225" s="872"/>
      <c r="X225" s="896"/>
      <c r="Y225" s="1043"/>
      <c r="Z225" s="876"/>
      <c r="AA225" s="879"/>
      <c r="AB225" s="879"/>
      <c r="AC225" s="882"/>
      <c r="AE225" s="79"/>
      <c r="AF225" s="59"/>
      <c r="AG225" s="9"/>
      <c r="AH225" s="928"/>
      <c r="AI225" s="915"/>
      <c r="AJ225" s="917"/>
      <c r="AK225" s="915"/>
      <c r="AL225" s="933"/>
    </row>
    <row r="226" spans="1:39" s="10" customFormat="1" ht="17.100000000000001" customHeight="1" x14ac:dyDescent="0.3">
      <c r="A226" s="937"/>
      <c r="B226" s="927"/>
      <c r="C226" s="889"/>
      <c r="D226" s="940"/>
      <c r="E226" s="185" t="s">
        <v>101</v>
      </c>
      <c r="F226" s="245" t="s">
        <v>276</v>
      </c>
      <c r="G226" s="529">
        <v>10</v>
      </c>
      <c r="H226" s="183">
        <v>46141</v>
      </c>
      <c r="I226" s="184">
        <v>0.83</v>
      </c>
      <c r="J226" s="992"/>
      <c r="K226" s="343"/>
      <c r="L226" s="702"/>
      <c r="M226" s="944"/>
      <c r="N226" s="921"/>
      <c r="O226" s="921"/>
      <c r="P226" s="921"/>
      <c r="Q226" s="921"/>
      <c r="R226" s="1226"/>
      <c r="S226" s="921"/>
      <c r="T226" s="872"/>
      <c r="U226" s="872"/>
      <c r="V226" s="872"/>
      <c r="W226" s="872"/>
      <c r="X226" s="896"/>
      <c r="Y226" s="1043"/>
      <c r="Z226" s="876"/>
      <c r="AA226" s="879"/>
      <c r="AB226" s="879"/>
      <c r="AC226" s="882"/>
      <c r="AD226" s="58"/>
      <c r="AE226" s="79"/>
      <c r="AF226" s="59"/>
      <c r="AG226" s="9"/>
      <c r="AH226" s="928"/>
      <c r="AI226" s="915"/>
      <c r="AJ226" s="917"/>
      <c r="AK226" s="915"/>
      <c r="AL226" s="933"/>
      <c r="AM226" s="58"/>
    </row>
    <row r="227" spans="1:39" s="10" customFormat="1" ht="17.100000000000001" customHeight="1" x14ac:dyDescent="0.3">
      <c r="A227" s="937"/>
      <c r="B227" s="927" t="s">
        <v>29</v>
      </c>
      <c r="C227" s="889"/>
      <c r="D227" s="923">
        <v>2</v>
      </c>
      <c r="E227" s="185" t="s">
        <v>686</v>
      </c>
      <c r="F227" s="245"/>
      <c r="G227" s="182"/>
      <c r="H227" s="183"/>
      <c r="I227" s="184"/>
      <c r="J227" s="992"/>
      <c r="K227" s="343"/>
      <c r="L227" s="355"/>
      <c r="M227" s="944"/>
      <c r="N227" s="954"/>
      <c r="O227" s="954"/>
      <c r="P227" s="954"/>
      <c r="Q227" s="954"/>
      <c r="R227" s="1226"/>
      <c r="S227" s="921"/>
      <c r="T227" s="872"/>
      <c r="U227" s="872"/>
      <c r="V227" s="872"/>
      <c r="W227" s="872"/>
      <c r="X227" s="896"/>
      <c r="Y227" s="1043"/>
      <c r="Z227" s="876"/>
      <c r="AA227" s="879"/>
      <c r="AB227" s="879"/>
      <c r="AC227" s="882"/>
      <c r="AD227" s="58"/>
      <c r="AE227" s="79"/>
      <c r="AF227" s="59"/>
      <c r="AG227" s="9"/>
      <c r="AH227" s="928"/>
      <c r="AI227" s="915"/>
      <c r="AJ227" s="917"/>
      <c r="AK227" s="915"/>
      <c r="AL227" s="933"/>
      <c r="AM227" s="58"/>
    </row>
    <row r="228" spans="1:39" s="10" customFormat="1" ht="17.100000000000001" customHeight="1" x14ac:dyDescent="0.3">
      <c r="A228" s="937"/>
      <c r="B228" s="927" t="s">
        <v>29</v>
      </c>
      <c r="C228" s="889"/>
      <c r="D228" s="902">
        <v>3</v>
      </c>
      <c r="E228" s="35" t="s">
        <v>49</v>
      </c>
      <c r="F228" s="213" t="s">
        <v>50</v>
      </c>
      <c r="G228" s="395">
        <v>47</v>
      </c>
      <c r="H228" s="152"/>
      <c r="I228" s="206">
        <v>0.6</v>
      </c>
      <c r="J228" s="992"/>
      <c r="K228" s="343"/>
      <c r="L228" s="355"/>
      <c r="M228" s="944"/>
      <c r="N228" s="809">
        <v>42922</v>
      </c>
      <c r="O228" s="809">
        <v>45843</v>
      </c>
      <c r="P228" s="809">
        <v>46208</v>
      </c>
      <c r="Q228" s="726"/>
      <c r="R228" s="1226"/>
      <c r="S228" s="921"/>
      <c r="T228" s="872"/>
      <c r="U228" s="872"/>
      <c r="V228" s="872"/>
      <c r="W228" s="872"/>
      <c r="X228" s="896"/>
      <c r="Y228" s="1043"/>
      <c r="Z228" s="1034">
        <v>46073</v>
      </c>
      <c r="AA228" s="879"/>
      <c r="AB228" s="879"/>
      <c r="AC228" s="882"/>
      <c r="AD228" s="58"/>
      <c r="AE228" s="79"/>
      <c r="AF228" s="59"/>
      <c r="AG228" s="9"/>
      <c r="AH228" s="928"/>
      <c r="AI228" s="915"/>
      <c r="AJ228" s="917"/>
      <c r="AK228" s="915"/>
      <c r="AL228" s="933"/>
      <c r="AM228" s="58"/>
    </row>
    <row r="229" spans="1:39" s="10" customFormat="1" ht="17.100000000000001" customHeight="1" x14ac:dyDescent="0.3">
      <c r="A229" s="937"/>
      <c r="B229" s="927" t="s">
        <v>29</v>
      </c>
      <c r="C229" s="889"/>
      <c r="D229" s="927">
        <v>3</v>
      </c>
      <c r="E229" s="20" t="s">
        <v>320</v>
      </c>
      <c r="F229" s="243" t="s">
        <v>275</v>
      </c>
      <c r="G229" s="397">
        <v>47</v>
      </c>
      <c r="H229" s="118">
        <v>46422</v>
      </c>
      <c r="I229" s="13">
        <v>1</v>
      </c>
      <c r="J229" s="992"/>
      <c r="K229" s="343"/>
      <c r="L229" s="838"/>
      <c r="M229" s="944"/>
      <c r="N229" s="815">
        <v>44400</v>
      </c>
      <c r="O229" s="807">
        <v>45860</v>
      </c>
      <c r="P229" s="807">
        <v>46225</v>
      </c>
      <c r="Q229" s="814" t="s">
        <v>966</v>
      </c>
      <c r="R229" s="1226"/>
      <c r="S229" s="921"/>
      <c r="T229" s="872"/>
      <c r="U229" s="872"/>
      <c r="V229" s="872"/>
      <c r="W229" s="872"/>
      <c r="X229" s="896"/>
      <c r="Y229" s="1043"/>
      <c r="Z229" s="876"/>
      <c r="AA229" s="879"/>
      <c r="AB229" s="879"/>
      <c r="AC229" s="882"/>
      <c r="AD229" s="58"/>
      <c r="AE229" s="79"/>
      <c r="AF229" s="59"/>
      <c r="AG229" s="9"/>
      <c r="AH229" s="928"/>
      <c r="AI229" s="915"/>
      <c r="AJ229" s="917"/>
      <c r="AK229" s="915"/>
      <c r="AL229" s="933"/>
      <c r="AM229" s="58"/>
    </row>
    <row r="230" spans="1:39" s="10" customFormat="1" ht="17.100000000000001" customHeight="1" x14ac:dyDescent="0.3">
      <c r="A230" s="937"/>
      <c r="B230" s="927" t="s">
        <v>82</v>
      </c>
      <c r="C230" s="889"/>
      <c r="D230" s="927">
        <v>3</v>
      </c>
      <c r="E230" s="20" t="s">
        <v>100</v>
      </c>
      <c r="F230" s="233">
        <v>0.21029999999999999</v>
      </c>
      <c r="G230" s="12">
        <v>10</v>
      </c>
      <c r="H230" s="118">
        <v>46233</v>
      </c>
      <c r="I230" s="13">
        <v>0.9</v>
      </c>
      <c r="J230" s="992"/>
      <c r="K230" s="343"/>
      <c r="L230" s="644"/>
      <c r="M230" s="944"/>
      <c r="N230" s="873">
        <v>42922</v>
      </c>
      <c r="O230" s="873">
        <v>45843</v>
      </c>
      <c r="P230" s="873">
        <v>46208</v>
      </c>
      <c r="Q230" s="873"/>
      <c r="R230" s="1226"/>
      <c r="S230" s="921"/>
      <c r="T230" s="872"/>
      <c r="U230" s="872"/>
      <c r="V230" s="872"/>
      <c r="W230" s="872"/>
      <c r="X230" s="896"/>
      <c r="Y230" s="1043"/>
      <c r="Z230" s="876"/>
      <c r="AA230" s="879"/>
      <c r="AB230" s="879"/>
      <c r="AC230" s="882"/>
      <c r="AD230" s="58"/>
      <c r="AE230" s="79"/>
      <c r="AF230" s="59"/>
      <c r="AG230" s="9"/>
      <c r="AH230" s="928"/>
      <c r="AI230" s="915"/>
      <c r="AJ230" s="917"/>
      <c r="AK230" s="915"/>
      <c r="AL230" s="933"/>
      <c r="AM230" s="58"/>
    </row>
    <row r="231" spans="1:39" s="10" customFormat="1" ht="17.100000000000001" customHeight="1" x14ac:dyDescent="0.3">
      <c r="A231" s="938"/>
      <c r="B231" s="940"/>
      <c r="C231" s="889"/>
      <c r="D231" s="940"/>
      <c r="E231" s="20" t="s">
        <v>810</v>
      </c>
      <c r="F231" s="243" t="s">
        <v>199</v>
      </c>
      <c r="G231" s="525">
        <v>10</v>
      </c>
      <c r="H231" s="524">
        <v>46195</v>
      </c>
      <c r="I231" s="13">
        <v>0.88</v>
      </c>
      <c r="J231" s="992"/>
      <c r="K231" s="343"/>
      <c r="L231" s="740"/>
      <c r="M231" s="944"/>
      <c r="N231" s="921"/>
      <c r="O231" s="921"/>
      <c r="P231" s="921"/>
      <c r="Q231" s="921"/>
      <c r="R231" s="1226"/>
      <c r="S231" s="921"/>
      <c r="T231" s="873"/>
      <c r="U231" s="873"/>
      <c r="V231" s="873"/>
      <c r="W231" s="873"/>
      <c r="X231" s="896"/>
      <c r="Y231" s="1129"/>
      <c r="Z231" s="876"/>
      <c r="AA231" s="879"/>
      <c r="AB231" s="879"/>
      <c r="AC231" s="882"/>
      <c r="AD231" s="60"/>
      <c r="AE231" s="80"/>
      <c r="AF231" s="61"/>
      <c r="AG231" s="9"/>
      <c r="AH231" s="928"/>
      <c r="AI231" s="915"/>
      <c r="AJ231" s="917"/>
      <c r="AK231" s="915"/>
      <c r="AL231" s="933"/>
      <c r="AM231" s="60"/>
    </row>
    <row r="232" spans="1:39" s="10" customFormat="1" ht="17.100000000000001" customHeight="1" x14ac:dyDescent="0.3">
      <c r="A232" s="939"/>
      <c r="B232" s="941" t="s">
        <v>29</v>
      </c>
      <c r="C232" s="890"/>
      <c r="D232" s="941">
        <v>3</v>
      </c>
      <c r="E232" s="180" t="s">
        <v>686</v>
      </c>
      <c r="F232" s="531"/>
      <c r="G232" s="527"/>
      <c r="H232" s="526"/>
      <c r="I232" s="530"/>
      <c r="J232" s="993"/>
      <c r="K232" s="537"/>
      <c r="L232" s="536"/>
      <c r="M232" s="945"/>
      <c r="N232" s="946"/>
      <c r="O232" s="946"/>
      <c r="P232" s="946"/>
      <c r="Q232" s="946"/>
      <c r="R232" s="1227"/>
      <c r="S232" s="946"/>
      <c r="T232" s="874"/>
      <c r="U232" s="874"/>
      <c r="V232" s="874"/>
      <c r="W232" s="874"/>
      <c r="X232" s="1115"/>
      <c r="Y232" s="1044"/>
      <c r="Z232" s="877"/>
      <c r="AA232" s="880"/>
      <c r="AB232" s="880"/>
      <c r="AC232" s="883"/>
      <c r="AD232" s="60"/>
      <c r="AE232" s="80"/>
      <c r="AF232" s="61"/>
      <c r="AG232" s="9"/>
      <c r="AH232" s="928"/>
      <c r="AI232" s="915"/>
      <c r="AJ232" s="918"/>
      <c r="AK232" s="915"/>
      <c r="AL232" s="933"/>
      <c r="AM232" s="60"/>
    </row>
    <row r="233" spans="1:39" s="10" customFormat="1" ht="17.100000000000001" customHeight="1" x14ac:dyDescent="0.3">
      <c r="A233" s="936">
        <v>46173</v>
      </c>
      <c r="B233" s="926" t="s">
        <v>42</v>
      </c>
      <c r="C233" s="891" t="s">
        <v>8</v>
      </c>
      <c r="D233" s="926">
        <v>1</v>
      </c>
      <c r="E233" s="19" t="s">
        <v>49</v>
      </c>
      <c r="F233" s="224" t="s">
        <v>50</v>
      </c>
      <c r="G233" s="6">
        <v>10</v>
      </c>
      <c r="H233" s="117">
        <v>46205</v>
      </c>
      <c r="I233" s="7">
        <v>0.95</v>
      </c>
      <c r="J233" s="942" t="s">
        <v>347</v>
      </c>
      <c r="K233" s="343"/>
      <c r="L233" s="623"/>
      <c r="M233" s="943" t="s">
        <v>422</v>
      </c>
      <c r="N233" s="871">
        <v>44307</v>
      </c>
      <c r="O233" s="871">
        <v>45767</v>
      </c>
      <c r="P233" s="871">
        <v>46132</v>
      </c>
      <c r="Q233" s="888" t="s">
        <v>291</v>
      </c>
      <c r="R233" s="888" t="s">
        <v>763</v>
      </c>
      <c r="S233" s="1186" t="s">
        <v>967</v>
      </c>
      <c r="T233" s="871">
        <v>44054</v>
      </c>
      <c r="U233" s="871">
        <v>45879</v>
      </c>
      <c r="V233" s="871">
        <v>46244</v>
      </c>
      <c r="W233" s="871"/>
      <c r="X233" s="888"/>
      <c r="Y233" s="1183" t="s">
        <v>828</v>
      </c>
      <c r="Z233" s="897">
        <v>46079</v>
      </c>
      <c r="AA233" s="878" t="s">
        <v>445</v>
      </c>
      <c r="AB233" s="878" t="s">
        <v>754</v>
      </c>
      <c r="AC233" s="881">
        <v>3900000</v>
      </c>
      <c r="AD233" s="56"/>
      <c r="AE233" s="78"/>
      <c r="AF233" s="57"/>
      <c r="AG233" s="9" t="s">
        <v>136</v>
      </c>
      <c r="AH233" s="928" t="s">
        <v>160</v>
      </c>
      <c r="AI233" s="915" t="s">
        <v>166</v>
      </c>
      <c r="AJ233" s="916" t="s">
        <v>160</v>
      </c>
      <c r="AK233" s="915"/>
      <c r="AL233" s="933"/>
      <c r="AM233" s="56"/>
    </row>
    <row r="234" spans="1:39" s="10" customFormat="1" ht="17.100000000000001" customHeight="1" x14ac:dyDescent="0.3">
      <c r="A234" s="937"/>
      <c r="B234" s="927" t="s">
        <v>42</v>
      </c>
      <c r="C234" s="889"/>
      <c r="D234" s="927">
        <v>1</v>
      </c>
      <c r="E234" s="11" t="s">
        <v>105</v>
      </c>
      <c r="F234" s="243" t="s">
        <v>232</v>
      </c>
      <c r="G234" s="12">
        <v>10</v>
      </c>
      <c r="H234" s="832">
        <v>46238</v>
      </c>
      <c r="I234" s="13">
        <v>1</v>
      </c>
      <c r="J234" s="985" t="s">
        <v>89</v>
      </c>
      <c r="K234" s="343"/>
      <c r="L234" s="838"/>
      <c r="M234" s="944"/>
      <c r="N234" s="872"/>
      <c r="O234" s="872">
        <v>2023.04</v>
      </c>
      <c r="P234" s="872"/>
      <c r="Q234" s="921"/>
      <c r="R234" s="921"/>
      <c r="S234" s="1187"/>
      <c r="T234" s="872"/>
      <c r="U234" s="872"/>
      <c r="V234" s="872"/>
      <c r="W234" s="872"/>
      <c r="X234" s="921"/>
      <c r="Y234" s="872"/>
      <c r="Z234" s="876"/>
      <c r="AA234" s="879"/>
      <c r="AB234" s="879"/>
      <c r="AC234" s="882"/>
      <c r="AD234" s="58"/>
      <c r="AE234" s="79"/>
      <c r="AF234" s="59"/>
      <c r="AG234" s="9"/>
      <c r="AH234" s="928"/>
      <c r="AI234" s="915"/>
      <c r="AJ234" s="917"/>
      <c r="AK234" s="915"/>
      <c r="AL234" s="933"/>
      <c r="AM234" s="58"/>
    </row>
    <row r="235" spans="1:39" s="10" customFormat="1" ht="17.100000000000001" customHeight="1" x14ac:dyDescent="0.3">
      <c r="A235" s="937"/>
      <c r="B235" s="927" t="s">
        <v>42</v>
      </c>
      <c r="C235" s="889"/>
      <c r="D235" s="927">
        <v>1</v>
      </c>
      <c r="E235" s="11" t="s">
        <v>51</v>
      </c>
      <c r="F235" s="233">
        <v>0.02</v>
      </c>
      <c r="G235" s="12">
        <v>10</v>
      </c>
      <c r="H235" s="118">
        <v>46346</v>
      </c>
      <c r="I235" s="13">
        <v>0.97</v>
      </c>
      <c r="J235" s="985" t="s">
        <v>9</v>
      </c>
      <c r="K235" s="343"/>
      <c r="L235" s="838"/>
      <c r="M235" s="944"/>
      <c r="N235" s="872"/>
      <c r="O235" s="872">
        <v>2023.04</v>
      </c>
      <c r="P235" s="872"/>
      <c r="Q235" s="921"/>
      <c r="R235" s="921"/>
      <c r="S235" s="1187"/>
      <c r="T235" s="872"/>
      <c r="U235" s="872"/>
      <c r="V235" s="872"/>
      <c r="W235" s="872"/>
      <c r="X235" s="921"/>
      <c r="Y235" s="872"/>
      <c r="Z235" s="876"/>
      <c r="AA235" s="879"/>
      <c r="AB235" s="879"/>
      <c r="AC235" s="882"/>
      <c r="AD235" s="58"/>
      <c r="AE235" s="79"/>
      <c r="AF235" s="59"/>
      <c r="AG235" s="9"/>
      <c r="AH235" s="928"/>
      <c r="AI235" s="915"/>
      <c r="AJ235" s="917"/>
      <c r="AK235" s="915"/>
      <c r="AL235" s="933"/>
      <c r="AM235" s="58"/>
    </row>
    <row r="236" spans="1:39" s="10" customFormat="1" ht="17.100000000000001" customHeight="1" x14ac:dyDescent="0.3">
      <c r="A236" s="937"/>
      <c r="B236" s="927" t="s">
        <v>84</v>
      </c>
      <c r="C236" s="889"/>
      <c r="D236" s="940">
        <v>1</v>
      </c>
      <c r="E236" s="33" t="s">
        <v>100</v>
      </c>
      <c r="F236" s="234">
        <v>0.2104</v>
      </c>
      <c r="G236" s="155">
        <v>10</v>
      </c>
      <c r="H236" s="151">
        <v>46346</v>
      </c>
      <c r="I236" s="34">
        <v>0.97</v>
      </c>
      <c r="J236" s="985" t="s">
        <v>9</v>
      </c>
      <c r="K236" s="343"/>
      <c r="L236" s="838"/>
      <c r="M236" s="944"/>
      <c r="N236" s="872"/>
      <c r="O236" s="872">
        <v>2023.04</v>
      </c>
      <c r="P236" s="872"/>
      <c r="Q236" s="921"/>
      <c r="R236" s="921"/>
      <c r="S236" s="1187"/>
      <c r="T236" s="872"/>
      <c r="U236" s="872"/>
      <c r="V236" s="872"/>
      <c r="W236" s="872"/>
      <c r="X236" s="921"/>
      <c r="Y236" s="872"/>
      <c r="Z236" s="876"/>
      <c r="AA236" s="879"/>
      <c r="AB236" s="879"/>
      <c r="AC236" s="882"/>
      <c r="AD236" s="58"/>
      <c r="AE236" s="79"/>
      <c r="AF236" s="59"/>
      <c r="AG236" s="9"/>
      <c r="AH236" s="928"/>
      <c r="AI236" s="915"/>
      <c r="AJ236" s="917"/>
      <c r="AK236" s="915"/>
      <c r="AL236" s="933"/>
      <c r="AM236" s="58"/>
    </row>
    <row r="237" spans="1:39" s="10" customFormat="1" ht="17.100000000000001" customHeight="1" x14ac:dyDescent="0.3">
      <c r="A237" s="937"/>
      <c r="B237" s="927" t="s">
        <v>85</v>
      </c>
      <c r="C237" s="889"/>
      <c r="D237" s="1075">
        <v>2</v>
      </c>
      <c r="E237" s="195" t="s">
        <v>49</v>
      </c>
      <c r="F237" s="225" t="s">
        <v>50</v>
      </c>
      <c r="G237" s="196">
        <v>10</v>
      </c>
      <c r="H237" s="197">
        <v>46205</v>
      </c>
      <c r="I237" s="198">
        <v>1</v>
      </c>
      <c r="J237" s="985" t="s">
        <v>9</v>
      </c>
      <c r="K237" s="343"/>
      <c r="L237" s="838"/>
      <c r="M237" s="944"/>
      <c r="N237" s="872"/>
      <c r="O237" s="872">
        <v>2023.04</v>
      </c>
      <c r="P237" s="872"/>
      <c r="Q237" s="921"/>
      <c r="R237" s="921"/>
      <c r="S237" s="1187"/>
      <c r="T237" s="872"/>
      <c r="U237" s="872"/>
      <c r="V237" s="872"/>
      <c r="W237" s="872"/>
      <c r="X237" s="921"/>
      <c r="Y237" s="872"/>
      <c r="Z237" s="876"/>
      <c r="AA237" s="879"/>
      <c r="AB237" s="879"/>
      <c r="AC237" s="882"/>
      <c r="AD237" s="58"/>
      <c r="AE237" s="79"/>
      <c r="AF237" s="59"/>
      <c r="AG237" s="9"/>
      <c r="AH237" s="928"/>
      <c r="AI237" s="915"/>
      <c r="AJ237" s="917"/>
      <c r="AK237" s="915"/>
      <c r="AL237" s="933"/>
      <c r="AM237" s="58"/>
    </row>
    <row r="238" spans="1:39" s="10" customFormat="1" ht="17.100000000000001" customHeight="1" x14ac:dyDescent="0.3">
      <c r="A238" s="937"/>
      <c r="B238" s="927" t="s">
        <v>42</v>
      </c>
      <c r="C238" s="889"/>
      <c r="D238" s="927">
        <v>2</v>
      </c>
      <c r="E238" s="11" t="s">
        <v>105</v>
      </c>
      <c r="F238" s="243" t="s">
        <v>233</v>
      </c>
      <c r="G238" s="146">
        <v>10</v>
      </c>
      <c r="H238" s="737">
        <v>46162</v>
      </c>
      <c r="I238" s="13">
        <v>0.98</v>
      </c>
      <c r="J238" s="985" t="s">
        <v>9</v>
      </c>
      <c r="K238" s="343"/>
      <c r="L238" s="838"/>
      <c r="M238" s="944"/>
      <c r="N238" s="872"/>
      <c r="O238" s="872">
        <v>2023.04</v>
      </c>
      <c r="P238" s="872"/>
      <c r="Q238" s="921"/>
      <c r="R238" s="921"/>
      <c r="S238" s="1187"/>
      <c r="T238" s="872"/>
      <c r="U238" s="872"/>
      <c r="V238" s="872"/>
      <c r="W238" s="872"/>
      <c r="X238" s="921"/>
      <c r="Y238" s="872"/>
      <c r="Z238" s="876"/>
      <c r="AA238" s="879"/>
      <c r="AB238" s="879"/>
      <c r="AC238" s="882"/>
      <c r="AD238" s="58"/>
      <c r="AE238" s="79"/>
      <c r="AF238" s="59"/>
      <c r="AG238" s="9"/>
      <c r="AH238" s="928"/>
      <c r="AI238" s="915"/>
      <c r="AJ238" s="917"/>
      <c r="AK238" s="915"/>
      <c r="AL238" s="933"/>
      <c r="AM238" s="58"/>
    </row>
    <row r="239" spans="1:39" s="10" customFormat="1" ht="17.100000000000001" customHeight="1" x14ac:dyDescent="0.3">
      <c r="A239" s="937"/>
      <c r="B239" s="927" t="s">
        <v>83</v>
      </c>
      <c r="C239" s="889"/>
      <c r="D239" s="927">
        <v>2</v>
      </c>
      <c r="E239" s="11" t="s">
        <v>51</v>
      </c>
      <c r="F239" s="233">
        <v>1.9900000000000001E-2</v>
      </c>
      <c r="G239" s="412">
        <v>10</v>
      </c>
      <c r="H239" s="149">
        <v>46163</v>
      </c>
      <c r="I239" s="13">
        <v>0.91</v>
      </c>
      <c r="J239" s="985" t="s">
        <v>9</v>
      </c>
      <c r="K239" s="343"/>
      <c r="L239" s="838"/>
      <c r="M239" s="944"/>
      <c r="N239" s="872"/>
      <c r="O239" s="872">
        <v>2023.04</v>
      </c>
      <c r="P239" s="872"/>
      <c r="Q239" s="921"/>
      <c r="R239" s="921"/>
      <c r="S239" s="1187"/>
      <c r="T239" s="872"/>
      <c r="U239" s="872"/>
      <c r="V239" s="872"/>
      <c r="W239" s="872"/>
      <c r="X239" s="921"/>
      <c r="Y239" s="872"/>
      <c r="Z239" s="876"/>
      <c r="AA239" s="879"/>
      <c r="AB239" s="879"/>
      <c r="AC239" s="882"/>
      <c r="AD239" s="58"/>
      <c r="AE239" s="79"/>
      <c r="AF239" s="59">
        <v>44767</v>
      </c>
      <c r="AG239" s="9"/>
      <c r="AH239" s="928"/>
      <c r="AI239" s="915"/>
      <c r="AJ239" s="917"/>
      <c r="AK239" s="915"/>
      <c r="AL239" s="933"/>
      <c r="AM239" s="58"/>
    </row>
    <row r="240" spans="1:39" s="10" customFormat="1" ht="17.100000000000001" customHeight="1" x14ac:dyDescent="0.3">
      <c r="A240" s="937"/>
      <c r="B240" s="927" t="s">
        <v>85</v>
      </c>
      <c r="C240" s="889"/>
      <c r="D240" s="923">
        <v>2</v>
      </c>
      <c r="E240" s="185" t="s">
        <v>100</v>
      </c>
      <c r="F240" s="234">
        <v>0.2097</v>
      </c>
      <c r="G240" s="182">
        <v>10</v>
      </c>
      <c r="H240" s="183">
        <v>46163</v>
      </c>
      <c r="I240" s="184">
        <v>0.92</v>
      </c>
      <c r="J240" s="985" t="s">
        <v>9</v>
      </c>
      <c r="K240" s="343"/>
      <c r="L240" s="838"/>
      <c r="M240" s="944"/>
      <c r="N240" s="872"/>
      <c r="O240" s="872">
        <v>2023.04</v>
      </c>
      <c r="P240" s="872"/>
      <c r="Q240" s="921"/>
      <c r="R240" s="921"/>
      <c r="S240" s="1187"/>
      <c r="T240" s="872"/>
      <c r="U240" s="872"/>
      <c r="V240" s="872"/>
      <c r="W240" s="872"/>
      <c r="X240" s="921"/>
      <c r="Y240" s="872"/>
      <c r="Z240" s="876"/>
      <c r="AA240" s="879"/>
      <c r="AB240" s="879"/>
      <c r="AC240" s="882"/>
      <c r="AD240" s="58"/>
      <c r="AE240" s="79"/>
      <c r="AF240" s="59">
        <v>44767</v>
      </c>
      <c r="AG240" s="9"/>
      <c r="AH240" s="928"/>
      <c r="AI240" s="915"/>
      <c r="AJ240" s="917"/>
      <c r="AK240" s="915"/>
      <c r="AL240" s="933"/>
      <c r="AM240" s="58"/>
    </row>
    <row r="241" spans="1:39" s="10" customFormat="1" ht="17.100000000000001" customHeight="1" x14ac:dyDescent="0.3">
      <c r="A241" s="937"/>
      <c r="B241" s="927" t="s">
        <v>42</v>
      </c>
      <c r="C241" s="889"/>
      <c r="D241" s="902">
        <v>3</v>
      </c>
      <c r="E241" s="35" t="s">
        <v>49</v>
      </c>
      <c r="F241" s="213" t="s">
        <v>50</v>
      </c>
      <c r="G241" s="156">
        <v>10</v>
      </c>
      <c r="H241" s="152">
        <v>46205</v>
      </c>
      <c r="I241" s="36">
        <v>1</v>
      </c>
      <c r="J241" s="985" t="s">
        <v>9</v>
      </c>
      <c r="K241" s="343"/>
      <c r="L241" s="838"/>
      <c r="M241" s="944"/>
      <c r="N241" s="872"/>
      <c r="O241" s="872">
        <v>2023.04</v>
      </c>
      <c r="P241" s="872"/>
      <c r="Q241" s="921"/>
      <c r="R241" s="921"/>
      <c r="S241" s="1187"/>
      <c r="T241" s="872"/>
      <c r="U241" s="872"/>
      <c r="V241" s="872"/>
      <c r="W241" s="872"/>
      <c r="X241" s="921"/>
      <c r="Y241" s="872"/>
      <c r="Z241" s="876"/>
      <c r="AA241" s="879"/>
      <c r="AB241" s="879"/>
      <c r="AC241" s="882"/>
      <c r="AD241" s="58"/>
      <c r="AE241" s="79"/>
      <c r="AF241" s="59"/>
      <c r="AG241" s="9"/>
      <c r="AH241" s="928"/>
      <c r="AI241" s="915"/>
      <c r="AJ241" s="917"/>
      <c r="AK241" s="915"/>
      <c r="AL241" s="933"/>
      <c r="AM241" s="58"/>
    </row>
    <row r="242" spans="1:39" s="10" customFormat="1" ht="17.100000000000001" customHeight="1" x14ac:dyDescent="0.3">
      <c r="A242" s="937"/>
      <c r="B242" s="927" t="s">
        <v>42</v>
      </c>
      <c r="C242" s="889"/>
      <c r="D242" s="927">
        <v>3</v>
      </c>
      <c r="E242" s="11" t="s">
        <v>105</v>
      </c>
      <c r="F242" s="243" t="s">
        <v>234</v>
      </c>
      <c r="G242" s="12">
        <v>10</v>
      </c>
      <c r="H242" s="832">
        <v>46238</v>
      </c>
      <c r="I242" s="13">
        <v>1</v>
      </c>
      <c r="J242" s="985" t="s">
        <v>9</v>
      </c>
      <c r="K242" s="343"/>
      <c r="L242" s="838"/>
      <c r="M242" s="944"/>
      <c r="N242" s="872"/>
      <c r="O242" s="872">
        <v>2023.04</v>
      </c>
      <c r="P242" s="872"/>
      <c r="Q242" s="921"/>
      <c r="R242" s="921"/>
      <c r="S242" s="1187"/>
      <c r="T242" s="872"/>
      <c r="U242" s="872"/>
      <c r="V242" s="872"/>
      <c r="W242" s="872"/>
      <c r="X242" s="921"/>
      <c r="Y242" s="872"/>
      <c r="Z242" s="876"/>
      <c r="AA242" s="879"/>
      <c r="AB242" s="879"/>
      <c r="AC242" s="882"/>
      <c r="AD242" s="58"/>
      <c r="AE242" s="79"/>
      <c r="AF242" s="59"/>
      <c r="AG242" s="9"/>
      <c r="AH242" s="928"/>
      <c r="AI242" s="915"/>
      <c r="AJ242" s="917"/>
      <c r="AK242" s="915"/>
      <c r="AL242" s="933"/>
      <c r="AM242" s="58"/>
    </row>
    <row r="243" spans="1:39" s="10" customFormat="1" ht="17.100000000000001" customHeight="1" x14ac:dyDescent="0.3">
      <c r="A243" s="937"/>
      <c r="B243" s="927" t="s">
        <v>85</v>
      </c>
      <c r="C243" s="889"/>
      <c r="D243" s="927">
        <v>3</v>
      </c>
      <c r="E243" s="11" t="s">
        <v>51</v>
      </c>
      <c r="F243" s="233">
        <v>2.0299999999999999E-2</v>
      </c>
      <c r="G243" s="12">
        <v>10</v>
      </c>
      <c r="H243" s="737">
        <v>46346</v>
      </c>
      <c r="I243" s="13">
        <v>0.99</v>
      </c>
      <c r="J243" s="985" t="s">
        <v>9</v>
      </c>
      <c r="K243" s="343"/>
      <c r="L243" s="838"/>
      <c r="M243" s="944"/>
      <c r="N243" s="872"/>
      <c r="O243" s="872">
        <v>2023.04</v>
      </c>
      <c r="P243" s="872"/>
      <c r="Q243" s="921"/>
      <c r="R243" s="921"/>
      <c r="S243" s="1187"/>
      <c r="T243" s="872"/>
      <c r="U243" s="872"/>
      <c r="V243" s="872"/>
      <c r="W243" s="872"/>
      <c r="X243" s="921"/>
      <c r="Y243" s="872"/>
      <c r="Z243" s="876"/>
      <c r="AA243" s="879"/>
      <c r="AB243" s="879"/>
      <c r="AC243" s="882"/>
      <c r="AD243" s="58"/>
      <c r="AE243" s="79"/>
      <c r="AF243" s="59"/>
      <c r="AG243" s="9"/>
      <c r="AH243" s="928"/>
      <c r="AI243" s="915"/>
      <c r="AJ243" s="917"/>
      <c r="AK243" s="915"/>
      <c r="AL243" s="933"/>
      <c r="AM243" s="58"/>
    </row>
    <row r="244" spans="1:39" s="10" customFormat="1" ht="17.100000000000001" customHeight="1" x14ac:dyDescent="0.3">
      <c r="A244" s="937"/>
      <c r="B244" s="927" t="s">
        <v>42</v>
      </c>
      <c r="C244" s="889"/>
      <c r="D244" s="940">
        <v>3</v>
      </c>
      <c r="E244" s="33" t="s">
        <v>100</v>
      </c>
      <c r="F244" s="234">
        <v>0.20860000000000001</v>
      </c>
      <c r="G244" s="155">
        <v>10</v>
      </c>
      <c r="H244" s="151">
        <v>46163</v>
      </c>
      <c r="I244" s="34">
        <v>0.92</v>
      </c>
      <c r="J244" s="985" t="s">
        <v>9</v>
      </c>
      <c r="K244" s="343"/>
      <c r="L244" s="838"/>
      <c r="M244" s="944"/>
      <c r="N244" s="872"/>
      <c r="O244" s="872">
        <v>2023.04</v>
      </c>
      <c r="P244" s="872"/>
      <c r="Q244" s="921"/>
      <c r="R244" s="921"/>
      <c r="S244" s="1187"/>
      <c r="T244" s="872"/>
      <c r="U244" s="872"/>
      <c r="V244" s="872"/>
      <c r="W244" s="872"/>
      <c r="X244" s="921"/>
      <c r="Y244" s="872"/>
      <c r="Z244" s="876"/>
      <c r="AA244" s="879"/>
      <c r="AB244" s="879"/>
      <c r="AC244" s="882"/>
      <c r="AD244" s="58"/>
      <c r="AE244" s="79"/>
      <c r="AF244" s="59">
        <v>44767</v>
      </c>
      <c r="AG244" s="9"/>
      <c r="AH244" s="928"/>
      <c r="AI244" s="915"/>
      <c r="AJ244" s="917"/>
      <c r="AK244" s="915"/>
      <c r="AL244" s="933"/>
      <c r="AM244" s="58"/>
    </row>
    <row r="245" spans="1:39" s="10" customFormat="1" ht="17.100000000000001" customHeight="1" x14ac:dyDescent="0.3">
      <c r="A245" s="937"/>
      <c r="B245" s="927" t="s">
        <v>84</v>
      </c>
      <c r="C245" s="889"/>
      <c r="D245" s="1075">
        <v>4</v>
      </c>
      <c r="E245" s="195" t="s">
        <v>49</v>
      </c>
      <c r="F245" s="225" t="s">
        <v>50</v>
      </c>
      <c r="G245" s="196">
        <v>10</v>
      </c>
      <c r="H245" s="197">
        <v>46205</v>
      </c>
      <c r="I245" s="198">
        <v>0.92</v>
      </c>
      <c r="J245" s="985" t="s">
        <v>9</v>
      </c>
      <c r="K245" s="343"/>
      <c r="L245" s="838"/>
      <c r="M245" s="944"/>
      <c r="N245" s="872"/>
      <c r="O245" s="872">
        <v>2023.04</v>
      </c>
      <c r="P245" s="872"/>
      <c r="Q245" s="921"/>
      <c r="R245" s="921"/>
      <c r="S245" s="1187"/>
      <c r="T245" s="872"/>
      <c r="U245" s="872"/>
      <c r="V245" s="872"/>
      <c r="W245" s="872"/>
      <c r="X245" s="921"/>
      <c r="Y245" s="872"/>
      <c r="Z245" s="876"/>
      <c r="AA245" s="879"/>
      <c r="AB245" s="879"/>
      <c r="AC245" s="882"/>
      <c r="AD245" s="58"/>
      <c r="AE245" s="79"/>
      <c r="AF245" s="59"/>
      <c r="AG245" s="9"/>
      <c r="AH245" s="928"/>
      <c r="AI245" s="915"/>
      <c r="AJ245" s="917"/>
      <c r="AK245" s="915"/>
      <c r="AL245" s="933"/>
      <c r="AM245" s="58"/>
    </row>
    <row r="246" spans="1:39" s="10" customFormat="1" ht="17.100000000000001" customHeight="1" x14ac:dyDescent="0.3">
      <c r="A246" s="937"/>
      <c r="B246" s="927" t="s">
        <v>84</v>
      </c>
      <c r="C246" s="889"/>
      <c r="D246" s="927">
        <v>4</v>
      </c>
      <c r="E246" s="11" t="s">
        <v>105</v>
      </c>
      <c r="F246" s="243" t="s">
        <v>235</v>
      </c>
      <c r="G246" s="146">
        <v>10</v>
      </c>
      <c r="H246" s="832">
        <v>46238</v>
      </c>
      <c r="I246" s="13">
        <v>1</v>
      </c>
      <c r="J246" s="985" t="s">
        <v>91</v>
      </c>
      <c r="K246" s="343"/>
      <c r="L246" s="838"/>
      <c r="M246" s="944"/>
      <c r="N246" s="872"/>
      <c r="O246" s="872">
        <v>2023.04</v>
      </c>
      <c r="P246" s="872"/>
      <c r="Q246" s="921"/>
      <c r="R246" s="921"/>
      <c r="S246" s="1187"/>
      <c r="T246" s="872"/>
      <c r="U246" s="872"/>
      <c r="V246" s="872"/>
      <c r="W246" s="872"/>
      <c r="X246" s="921"/>
      <c r="Y246" s="872"/>
      <c r="Z246" s="876"/>
      <c r="AA246" s="879"/>
      <c r="AB246" s="879"/>
      <c r="AC246" s="882"/>
      <c r="AD246" s="58"/>
      <c r="AE246" s="79"/>
      <c r="AF246" s="59"/>
      <c r="AG246" s="9"/>
      <c r="AH246" s="928"/>
      <c r="AI246" s="915"/>
      <c r="AJ246" s="917"/>
      <c r="AK246" s="915"/>
      <c r="AL246" s="933"/>
      <c r="AM246" s="58"/>
    </row>
    <row r="247" spans="1:39" s="10" customFormat="1" ht="17.100000000000001" customHeight="1" x14ac:dyDescent="0.3">
      <c r="A247" s="937"/>
      <c r="B247" s="927" t="s">
        <v>84</v>
      </c>
      <c r="C247" s="889"/>
      <c r="D247" s="927">
        <v>4</v>
      </c>
      <c r="E247" s="11" t="s">
        <v>51</v>
      </c>
      <c r="F247" s="233">
        <v>0.02</v>
      </c>
      <c r="G247" s="146">
        <v>10</v>
      </c>
      <c r="H247" s="737">
        <v>46346</v>
      </c>
      <c r="I247" s="13">
        <v>0.97</v>
      </c>
      <c r="J247" s="985" t="s">
        <v>9</v>
      </c>
      <c r="K247" s="343"/>
      <c r="L247" s="838"/>
      <c r="M247" s="944"/>
      <c r="N247" s="872"/>
      <c r="O247" s="872">
        <v>2023.04</v>
      </c>
      <c r="P247" s="872"/>
      <c r="Q247" s="921"/>
      <c r="R247" s="921"/>
      <c r="S247" s="1187"/>
      <c r="T247" s="872"/>
      <c r="U247" s="872"/>
      <c r="V247" s="872"/>
      <c r="W247" s="872"/>
      <c r="X247" s="921"/>
      <c r="Y247" s="872"/>
      <c r="Z247" s="876"/>
      <c r="AA247" s="879"/>
      <c r="AB247" s="879"/>
      <c r="AC247" s="882"/>
      <c r="AD247" s="58"/>
      <c r="AE247" s="79"/>
      <c r="AF247" s="59"/>
      <c r="AG247" s="9"/>
      <c r="AH247" s="928"/>
      <c r="AI247" s="915"/>
      <c r="AJ247" s="917"/>
      <c r="AK247" s="915"/>
      <c r="AL247" s="933"/>
      <c r="AM247" s="58"/>
    </row>
    <row r="248" spans="1:39" s="10" customFormat="1" ht="17.100000000000001" customHeight="1" x14ac:dyDescent="0.3">
      <c r="A248" s="937"/>
      <c r="B248" s="927" t="s">
        <v>42</v>
      </c>
      <c r="C248" s="889"/>
      <c r="D248" s="923">
        <v>4</v>
      </c>
      <c r="E248" s="185" t="s">
        <v>100</v>
      </c>
      <c r="F248" s="234">
        <v>0.21029999999999999</v>
      </c>
      <c r="G248" s="182">
        <v>10</v>
      </c>
      <c r="H248" s="183">
        <v>46295</v>
      </c>
      <c r="I248" s="184">
        <v>0.88</v>
      </c>
      <c r="J248" s="985" t="s">
        <v>9</v>
      </c>
      <c r="K248" s="343"/>
      <c r="L248" s="838"/>
      <c r="M248" s="944"/>
      <c r="N248" s="872"/>
      <c r="O248" s="872">
        <v>2023.04</v>
      </c>
      <c r="P248" s="872"/>
      <c r="Q248" s="921"/>
      <c r="R248" s="921"/>
      <c r="S248" s="1187"/>
      <c r="T248" s="872"/>
      <c r="U248" s="872"/>
      <c r="V248" s="872"/>
      <c r="W248" s="872"/>
      <c r="X248" s="921"/>
      <c r="Y248" s="872"/>
      <c r="Z248" s="876"/>
      <c r="AA248" s="879"/>
      <c r="AB248" s="879"/>
      <c r="AC248" s="882"/>
      <c r="AD248" s="58"/>
      <c r="AE248" s="79"/>
      <c r="AF248" s="59"/>
      <c r="AG248" s="9"/>
      <c r="AH248" s="928"/>
      <c r="AI248" s="915"/>
      <c r="AJ248" s="917"/>
      <c r="AK248" s="915"/>
      <c r="AL248" s="933"/>
      <c r="AM248" s="58"/>
    </row>
    <row r="249" spans="1:39" s="10" customFormat="1" ht="17.100000000000001" customHeight="1" x14ac:dyDescent="0.3">
      <c r="A249" s="937"/>
      <c r="B249" s="927" t="s">
        <v>84</v>
      </c>
      <c r="C249" s="889"/>
      <c r="D249" s="1075">
        <v>6</v>
      </c>
      <c r="E249" s="195" t="s">
        <v>49</v>
      </c>
      <c r="F249" s="225" t="s">
        <v>50</v>
      </c>
      <c r="G249" s="196">
        <v>10</v>
      </c>
      <c r="H249" s="197">
        <v>46205</v>
      </c>
      <c r="I249" s="198">
        <v>1</v>
      </c>
      <c r="J249" s="985" t="s">
        <v>9</v>
      </c>
      <c r="K249" s="343"/>
      <c r="L249" s="838"/>
      <c r="M249" s="944"/>
      <c r="N249" s="872"/>
      <c r="O249" s="872">
        <v>2023.04</v>
      </c>
      <c r="P249" s="872"/>
      <c r="Q249" s="921"/>
      <c r="R249" s="921"/>
      <c r="S249" s="1187"/>
      <c r="T249" s="872"/>
      <c r="U249" s="872"/>
      <c r="V249" s="872"/>
      <c r="W249" s="872"/>
      <c r="X249" s="921"/>
      <c r="Y249" s="872"/>
      <c r="Z249" s="876"/>
      <c r="AA249" s="879"/>
      <c r="AB249" s="879"/>
      <c r="AC249" s="882"/>
      <c r="AD249" s="58"/>
      <c r="AE249" s="79"/>
      <c r="AF249" s="59"/>
      <c r="AG249" s="9"/>
      <c r="AH249" s="928"/>
      <c r="AI249" s="915"/>
      <c r="AJ249" s="917"/>
      <c r="AK249" s="915"/>
      <c r="AL249" s="933"/>
      <c r="AM249" s="58"/>
    </row>
    <row r="250" spans="1:39" s="10" customFormat="1" ht="17.100000000000001" customHeight="1" x14ac:dyDescent="0.3">
      <c r="A250" s="937"/>
      <c r="B250" s="927" t="s">
        <v>84</v>
      </c>
      <c r="C250" s="889"/>
      <c r="D250" s="927">
        <v>6</v>
      </c>
      <c r="E250" s="11" t="s">
        <v>105</v>
      </c>
      <c r="F250" s="243" t="s">
        <v>236</v>
      </c>
      <c r="G250" s="146">
        <v>10</v>
      </c>
      <c r="H250" s="687">
        <v>46195</v>
      </c>
      <c r="I250" s="13">
        <v>1</v>
      </c>
      <c r="J250" s="985" t="s">
        <v>89</v>
      </c>
      <c r="K250" s="343"/>
      <c r="L250" s="838"/>
      <c r="M250" s="944"/>
      <c r="N250" s="872"/>
      <c r="O250" s="872">
        <v>2023.04</v>
      </c>
      <c r="P250" s="872"/>
      <c r="Q250" s="921"/>
      <c r="R250" s="921"/>
      <c r="S250" s="1187"/>
      <c r="T250" s="872"/>
      <c r="U250" s="872"/>
      <c r="V250" s="872"/>
      <c r="W250" s="872"/>
      <c r="X250" s="921"/>
      <c r="Y250" s="872"/>
      <c r="Z250" s="876"/>
      <c r="AA250" s="879"/>
      <c r="AB250" s="879"/>
      <c r="AC250" s="882"/>
      <c r="AD250" s="58"/>
      <c r="AE250" s="79"/>
      <c r="AF250" s="59"/>
      <c r="AG250" s="9"/>
      <c r="AH250" s="928"/>
      <c r="AI250" s="915"/>
      <c r="AJ250" s="917"/>
      <c r="AK250" s="915"/>
      <c r="AL250" s="933"/>
      <c r="AM250" s="58"/>
    </row>
    <row r="251" spans="1:39" s="10" customFormat="1" ht="17.100000000000001" customHeight="1" x14ac:dyDescent="0.3">
      <c r="A251" s="937"/>
      <c r="B251" s="927" t="s">
        <v>42</v>
      </c>
      <c r="C251" s="889"/>
      <c r="D251" s="927">
        <v>6</v>
      </c>
      <c r="E251" s="11" t="s">
        <v>51</v>
      </c>
      <c r="F251" s="233">
        <v>1.9900000000000001E-2</v>
      </c>
      <c r="G251" s="146">
        <v>10</v>
      </c>
      <c r="H251" s="149">
        <v>46163</v>
      </c>
      <c r="I251" s="13">
        <v>0.95</v>
      </c>
      <c r="J251" s="985" t="s">
        <v>9</v>
      </c>
      <c r="K251" s="343"/>
      <c r="L251" s="838"/>
      <c r="M251" s="944"/>
      <c r="N251" s="872"/>
      <c r="O251" s="872">
        <v>2023.04</v>
      </c>
      <c r="P251" s="872"/>
      <c r="Q251" s="921"/>
      <c r="R251" s="921"/>
      <c r="S251" s="1187"/>
      <c r="T251" s="872"/>
      <c r="U251" s="872"/>
      <c r="V251" s="872"/>
      <c r="W251" s="872"/>
      <c r="X251" s="921"/>
      <c r="Y251" s="872"/>
      <c r="Z251" s="876"/>
      <c r="AA251" s="879"/>
      <c r="AB251" s="879"/>
      <c r="AC251" s="882"/>
      <c r="AD251" s="58"/>
      <c r="AE251" s="79"/>
      <c r="AF251" s="59">
        <v>44767</v>
      </c>
      <c r="AG251" s="9"/>
      <c r="AH251" s="928"/>
      <c r="AI251" s="915"/>
      <c r="AJ251" s="917"/>
      <c r="AK251" s="915"/>
      <c r="AL251" s="933"/>
      <c r="AM251" s="58"/>
    </row>
    <row r="252" spans="1:39" s="10" customFormat="1" ht="17.100000000000001" customHeight="1" x14ac:dyDescent="0.3">
      <c r="A252" s="937"/>
      <c r="B252" s="927" t="s">
        <v>42</v>
      </c>
      <c r="C252" s="889"/>
      <c r="D252" s="923">
        <v>6</v>
      </c>
      <c r="E252" s="185" t="s">
        <v>100</v>
      </c>
      <c r="F252" s="234">
        <v>0.20399999999999999</v>
      </c>
      <c r="G252" s="182">
        <v>10</v>
      </c>
      <c r="H252" s="183">
        <v>46346</v>
      </c>
      <c r="I252" s="184">
        <v>1</v>
      </c>
      <c r="J252" s="985" t="s">
        <v>9</v>
      </c>
      <c r="K252" s="343"/>
      <c r="L252" s="838"/>
      <c r="M252" s="944"/>
      <c r="N252" s="872"/>
      <c r="O252" s="872">
        <v>2023.04</v>
      </c>
      <c r="P252" s="872"/>
      <c r="Q252" s="921"/>
      <c r="R252" s="921"/>
      <c r="S252" s="1187"/>
      <c r="T252" s="872"/>
      <c r="U252" s="872"/>
      <c r="V252" s="872"/>
      <c r="W252" s="872"/>
      <c r="X252" s="921"/>
      <c r="Y252" s="872"/>
      <c r="Z252" s="876"/>
      <c r="AA252" s="879"/>
      <c r="AB252" s="879"/>
      <c r="AC252" s="882"/>
      <c r="AD252" s="58"/>
      <c r="AE252" s="79"/>
      <c r="AF252" s="59"/>
      <c r="AG252" s="9"/>
      <c r="AH252" s="928"/>
      <c r="AI252" s="915"/>
      <c r="AJ252" s="917"/>
      <c r="AK252" s="915"/>
      <c r="AL252" s="933"/>
      <c r="AM252" s="58"/>
    </row>
    <row r="253" spans="1:39" s="10" customFormat="1" ht="17.100000000000001" customHeight="1" x14ac:dyDescent="0.3">
      <c r="A253" s="937"/>
      <c r="B253" s="927" t="s">
        <v>42</v>
      </c>
      <c r="C253" s="889"/>
      <c r="D253" s="902">
        <v>7</v>
      </c>
      <c r="E253" s="35" t="s">
        <v>49</v>
      </c>
      <c r="F253" s="213" t="s">
        <v>50</v>
      </c>
      <c r="G253" s="156">
        <v>10</v>
      </c>
      <c r="H253" s="152">
        <v>46205</v>
      </c>
      <c r="I253" s="36">
        <v>1</v>
      </c>
      <c r="J253" s="985" t="s">
        <v>9</v>
      </c>
      <c r="K253" s="343"/>
      <c r="L253" s="838"/>
      <c r="M253" s="944"/>
      <c r="N253" s="872"/>
      <c r="O253" s="872">
        <v>2023.04</v>
      </c>
      <c r="P253" s="872"/>
      <c r="Q253" s="921"/>
      <c r="R253" s="921"/>
      <c r="S253" s="1187"/>
      <c r="T253" s="872"/>
      <c r="U253" s="872"/>
      <c r="V253" s="872"/>
      <c r="W253" s="872"/>
      <c r="X253" s="921"/>
      <c r="Y253" s="872"/>
      <c r="Z253" s="876"/>
      <c r="AA253" s="879"/>
      <c r="AB253" s="879"/>
      <c r="AC253" s="882"/>
      <c r="AD253" s="58"/>
      <c r="AE253" s="79"/>
      <c r="AF253" s="59"/>
      <c r="AG253" s="9"/>
      <c r="AH253" s="928"/>
      <c r="AI253" s="915"/>
      <c r="AJ253" s="917"/>
      <c r="AK253" s="915"/>
      <c r="AL253" s="933"/>
      <c r="AM253" s="58"/>
    </row>
    <row r="254" spans="1:39" s="10" customFormat="1" ht="17.100000000000001" customHeight="1" x14ac:dyDescent="0.3">
      <c r="A254" s="937"/>
      <c r="B254" s="927" t="s">
        <v>42</v>
      </c>
      <c r="C254" s="889"/>
      <c r="D254" s="927">
        <v>7</v>
      </c>
      <c r="E254" s="11" t="s">
        <v>105</v>
      </c>
      <c r="F254" s="243" t="s">
        <v>237</v>
      </c>
      <c r="G254" s="12">
        <v>10</v>
      </c>
      <c r="H254" s="832">
        <v>46238</v>
      </c>
      <c r="I254" s="13">
        <v>1</v>
      </c>
      <c r="J254" s="985" t="s">
        <v>90</v>
      </c>
      <c r="K254" s="343"/>
      <c r="L254" s="838"/>
      <c r="M254" s="944"/>
      <c r="N254" s="872"/>
      <c r="O254" s="872">
        <v>2023.04</v>
      </c>
      <c r="P254" s="872"/>
      <c r="Q254" s="921"/>
      <c r="R254" s="921"/>
      <c r="S254" s="1187"/>
      <c r="T254" s="872"/>
      <c r="U254" s="872"/>
      <c r="V254" s="872"/>
      <c r="W254" s="872"/>
      <c r="X254" s="921"/>
      <c r="Y254" s="872"/>
      <c r="Z254" s="876"/>
      <c r="AA254" s="879"/>
      <c r="AB254" s="879"/>
      <c r="AC254" s="882"/>
      <c r="AD254" s="58"/>
      <c r="AE254" s="79"/>
      <c r="AF254" s="59"/>
      <c r="AG254" s="9"/>
      <c r="AH254" s="928"/>
      <c r="AI254" s="915"/>
      <c r="AJ254" s="917"/>
      <c r="AK254" s="915"/>
      <c r="AL254" s="933"/>
      <c r="AM254" s="58"/>
    </row>
    <row r="255" spans="1:39" s="10" customFormat="1" ht="17.100000000000001" customHeight="1" x14ac:dyDescent="0.3">
      <c r="A255" s="937"/>
      <c r="B255" s="927" t="s">
        <v>42</v>
      </c>
      <c r="C255" s="889"/>
      <c r="D255" s="927">
        <v>7</v>
      </c>
      <c r="E255" s="11" t="s">
        <v>51</v>
      </c>
      <c r="F255" s="233">
        <v>0.02</v>
      </c>
      <c r="G255" s="12">
        <v>10</v>
      </c>
      <c r="H255" s="118">
        <v>46346</v>
      </c>
      <c r="I255" s="13">
        <v>0.99</v>
      </c>
      <c r="J255" s="985" t="s">
        <v>9</v>
      </c>
      <c r="K255" s="343"/>
      <c r="L255" s="838"/>
      <c r="M255" s="944"/>
      <c r="N255" s="872"/>
      <c r="O255" s="872">
        <v>2023.04</v>
      </c>
      <c r="P255" s="872"/>
      <c r="Q255" s="921"/>
      <c r="R255" s="921"/>
      <c r="S255" s="1187"/>
      <c r="T255" s="872"/>
      <c r="U255" s="872"/>
      <c r="V255" s="872"/>
      <c r="W255" s="872"/>
      <c r="X255" s="921"/>
      <c r="Y255" s="872"/>
      <c r="Z255" s="876"/>
      <c r="AA255" s="879"/>
      <c r="AB255" s="879"/>
      <c r="AC255" s="882"/>
      <c r="AD255" s="58"/>
      <c r="AE255" s="79"/>
      <c r="AF255" s="59"/>
      <c r="AG255" s="9"/>
      <c r="AH255" s="928"/>
      <c r="AI255" s="915"/>
      <c r="AJ255" s="917"/>
      <c r="AK255" s="915"/>
      <c r="AL255" s="933"/>
      <c r="AM255" s="58"/>
    </row>
    <row r="256" spans="1:39" s="10" customFormat="1" ht="17.100000000000001" customHeight="1" x14ac:dyDescent="0.3">
      <c r="A256" s="939"/>
      <c r="B256" s="941" t="s">
        <v>42</v>
      </c>
      <c r="C256" s="890"/>
      <c r="D256" s="941">
        <v>7</v>
      </c>
      <c r="E256" s="24" t="s">
        <v>100</v>
      </c>
      <c r="F256" s="234">
        <v>0.21060000000000001</v>
      </c>
      <c r="G256" s="16">
        <v>10</v>
      </c>
      <c r="H256" s="119">
        <v>46346</v>
      </c>
      <c r="I256" s="13">
        <v>1</v>
      </c>
      <c r="J256" s="986" t="s">
        <v>9</v>
      </c>
      <c r="K256" s="343"/>
      <c r="L256" s="738"/>
      <c r="M256" s="945"/>
      <c r="N256" s="874"/>
      <c r="O256" s="874">
        <v>2023.04</v>
      </c>
      <c r="P256" s="874"/>
      <c r="Q256" s="946"/>
      <c r="R256" s="946"/>
      <c r="S256" s="1188"/>
      <c r="T256" s="874"/>
      <c r="U256" s="874"/>
      <c r="V256" s="874"/>
      <c r="W256" s="874"/>
      <c r="X256" s="946"/>
      <c r="Y256" s="874"/>
      <c r="Z256" s="877"/>
      <c r="AA256" s="880"/>
      <c r="AB256" s="880"/>
      <c r="AC256" s="883"/>
      <c r="AD256" s="58"/>
      <c r="AE256" s="81"/>
      <c r="AF256" s="61"/>
      <c r="AG256" s="9"/>
      <c r="AH256" s="928"/>
      <c r="AI256" s="915"/>
      <c r="AJ256" s="918"/>
      <c r="AK256" s="915"/>
      <c r="AL256" s="933"/>
      <c r="AM256" s="58"/>
    </row>
    <row r="257" spans="1:39" ht="16.5" customHeight="1" x14ac:dyDescent="0.3">
      <c r="A257" s="936">
        <v>46173</v>
      </c>
      <c r="B257" s="74" t="s">
        <v>36</v>
      </c>
      <c r="C257" s="77" t="s">
        <v>8</v>
      </c>
      <c r="D257" s="382"/>
      <c r="E257" s="5"/>
      <c r="F257" s="215"/>
      <c r="G257" s="6"/>
      <c r="H257" s="117"/>
      <c r="I257" s="7" t="s">
        <v>341</v>
      </c>
      <c r="J257" s="960" t="s">
        <v>10</v>
      </c>
      <c r="K257" s="971"/>
      <c r="L257" s="974"/>
      <c r="M257" s="948" t="s">
        <v>423</v>
      </c>
      <c r="N257" s="98"/>
      <c r="O257" s="88">
        <v>45108</v>
      </c>
      <c r="P257" s="137"/>
      <c r="Q257" s="297"/>
      <c r="R257" s="367"/>
      <c r="S257" s="92"/>
      <c r="T257" s="98"/>
      <c r="U257" s="95"/>
      <c r="V257" s="297"/>
      <c r="W257" s="95"/>
      <c r="X257" s="367"/>
      <c r="Y257" s="311"/>
      <c r="Z257" s="875"/>
      <c r="AA257" s="1048"/>
      <c r="AB257" s="1048"/>
      <c r="AC257" s="1020"/>
      <c r="AD257" s="634" t="s">
        <v>804</v>
      </c>
      <c r="AE257" s="78"/>
      <c r="AF257" s="57"/>
      <c r="AG257" s="38"/>
      <c r="AH257" s="1011" t="s">
        <v>165</v>
      </c>
      <c r="AI257" s="1015"/>
      <c r="AJ257" s="1007"/>
      <c r="AK257" s="1015"/>
      <c r="AL257" s="1006" t="s">
        <v>173</v>
      </c>
      <c r="AM257" s="56"/>
    </row>
    <row r="258" spans="1:39" ht="17.100000000000001" customHeight="1" x14ac:dyDescent="0.3">
      <c r="A258" s="937"/>
      <c r="B258" s="75" t="s">
        <v>38</v>
      </c>
      <c r="C258" s="75" t="s">
        <v>8</v>
      </c>
      <c r="D258" s="384"/>
      <c r="E258" s="11"/>
      <c r="F258" s="216"/>
      <c r="G258" s="12"/>
      <c r="H258" s="118"/>
      <c r="I258" s="13" t="s">
        <v>342</v>
      </c>
      <c r="J258" s="925"/>
      <c r="K258" s="972"/>
      <c r="L258" s="975"/>
      <c r="M258" s="949"/>
      <c r="N258" s="100"/>
      <c r="O258" s="89">
        <v>45047</v>
      </c>
      <c r="P258" s="138"/>
      <c r="Q258" s="298"/>
      <c r="R258" s="368"/>
      <c r="S258" s="93"/>
      <c r="T258" s="100"/>
      <c r="U258" s="96"/>
      <c r="V258" s="298"/>
      <c r="W258" s="96"/>
      <c r="X258" s="368"/>
      <c r="Y258" s="312"/>
      <c r="Z258" s="1057"/>
      <c r="AA258" s="1049"/>
      <c r="AB258" s="1049"/>
      <c r="AC258" s="1035"/>
      <c r="AD258" s="58"/>
      <c r="AE258" s="79"/>
      <c r="AF258" s="59"/>
      <c r="AG258" s="38"/>
      <c r="AH258" s="1011"/>
      <c r="AI258" s="1015"/>
      <c r="AJ258" s="1008"/>
      <c r="AK258" s="1015"/>
      <c r="AL258" s="1006"/>
      <c r="AM258" s="58"/>
    </row>
    <row r="259" spans="1:39" ht="19.5" customHeight="1" x14ac:dyDescent="0.3">
      <c r="A259" s="939"/>
      <c r="B259" s="76" t="s">
        <v>86</v>
      </c>
      <c r="C259" s="76" t="s">
        <v>8</v>
      </c>
      <c r="D259" s="385"/>
      <c r="E259" s="15"/>
      <c r="F259" s="218"/>
      <c r="G259" s="16"/>
      <c r="H259" s="119"/>
      <c r="I259" s="17" t="s">
        <v>343</v>
      </c>
      <c r="J259" s="961"/>
      <c r="K259" s="973"/>
      <c r="L259" s="976"/>
      <c r="M259" s="950"/>
      <c r="N259" s="99"/>
      <c r="O259" s="90">
        <v>45108</v>
      </c>
      <c r="P259" s="139"/>
      <c r="Q259" s="299"/>
      <c r="R259" s="369"/>
      <c r="S259" s="94"/>
      <c r="T259" s="99"/>
      <c r="U259" s="97"/>
      <c r="V259" s="299"/>
      <c r="W259" s="97"/>
      <c r="X259" s="369"/>
      <c r="Y259" s="313"/>
      <c r="Z259" s="1058"/>
      <c r="AA259" s="1050"/>
      <c r="AB259" s="1050"/>
      <c r="AC259" s="1036"/>
      <c r="AD259" s="60"/>
      <c r="AE259" s="80"/>
      <c r="AF259" s="61"/>
      <c r="AG259" s="38"/>
      <c r="AH259" s="1011"/>
      <c r="AI259" s="1015"/>
      <c r="AJ259" s="1009"/>
      <c r="AK259" s="1015"/>
      <c r="AL259" s="1006"/>
      <c r="AM259" s="60"/>
    </row>
    <row r="260" spans="1:39" s="10" customFormat="1" ht="17.100000000000001" customHeight="1" x14ac:dyDescent="0.3">
      <c r="A260" s="936">
        <v>46295</v>
      </c>
      <c r="B260" s="926" t="s">
        <v>919</v>
      </c>
      <c r="C260" s="926" t="s">
        <v>8</v>
      </c>
      <c r="D260" s="926">
        <v>54</v>
      </c>
      <c r="E260" s="19" t="s">
        <v>49</v>
      </c>
      <c r="F260" s="389" t="s">
        <v>50</v>
      </c>
      <c r="G260" s="6">
        <v>10</v>
      </c>
      <c r="H260" s="117">
        <v>46366</v>
      </c>
      <c r="I260" s="7">
        <v>1</v>
      </c>
      <c r="J260" s="942" t="s">
        <v>347</v>
      </c>
      <c r="K260" s="345"/>
      <c r="L260" s="742"/>
      <c r="M260" s="943" t="s">
        <v>415</v>
      </c>
      <c r="N260" s="871">
        <v>44369</v>
      </c>
      <c r="O260" s="871">
        <v>45829</v>
      </c>
      <c r="P260" s="871">
        <v>46194</v>
      </c>
      <c r="Q260" s="888" t="s">
        <v>329</v>
      </c>
      <c r="R260" s="1099" t="s">
        <v>756</v>
      </c>
      <c r="S260" s="1241" t="s">
        <v>757</v>
      </c>
      <c r="T260" s="871">
        <v>44358</v>
      </c>
      <c r="U260" s="871">
        <v>45818</v>
      </c>
      <c r="V260" s="871">
        <v>46183</v>
      </c>
      <c r="W260" s="871" t="s">
        <v>752</v>
      </c>
      <c r="X260" s="888"/>
      <c r="Y260" s="871" t="s">
        <v>753</v>
      </c>
      <c r="Z260" s="897">
        <v>46066</v>
      </c>
      <c r="AA260" s="878" t="s">
        <v>450</v>
      </c>
      <c r="AB260" s="878"/>
      <c r="AC260" s="881">
        <f>2250000
/3</f>
        <v>750000</v>
      </c>
      <c r="AD260" s="56"/>
      <c r="AE260" s="78"/>
      <c r="AF260" s="57"/>
      <c r="AG260" s="9" t="s">
        <v>136</v>
      </c>
      <c r="AH260" s="928" t="s">
        <v>160</v>
      </c>
      <c r="AI260" s="915" t="s">
        <v>166</v>
      </c>
      <c r="AJ260" s="916" t="s">
        <v>160</v>
      </c>
      <c r="AK260" s="915"/>
      <c r="AL260" s="933"/>
      <c r="AM260" s="326" t="s">
        <v>480</v>
      </c>
    </row>
    <row r="261" spans="1:39" s="10" customFormat="1" ht="17.100000000000001" customHeight="1" x14ac:dyDescent="0.3">
      <c r="A261" s="937"/>
      <c r="B261" s="927" t="s">
        <v>18</v>
      </c>
      <c r="C261" s="927" t="s">
        <v>8</v>
      </c>
      <c r="D261" s="927">
        <v>54</v>
      </c>
      <c r="E261" s="20" t="s">
        <v>102</v>
      </c>
      <c r="F261" s="243" t="s">
        <v>204</v>
      </c>
      <c r="G261" s="12">
        <v>10</v>
      </c>
      <c r="H261" s="118">
        <v>46366</v>
      </c>
      <c r="I261" s="13">
        <v>0.98</v>
      </c>
      <c r="J261" s="985" t="s">
        <v>9</v>
      </c>
      <c r="K261" s="343"/>
      <c r="L261" s="740"/>
      <c r="M261" s="944"/>
      <c r="N261" s="872"/>
      <c r="O261" s="872"/>
      <c r="P261" s="872"/>
      <c r="Q261" s="921"/>
      <c r="R261" s="1066"/>
      <c r="S261" s="1242"/>
      <c r="T261" s="872"/>
      <c r="U261" s="872"/>
      <c r="V261" s="872"/>
      <c r="W261" s="872"/>
      <c r="X261" s="921"/>
      <c r="Y261" s="872"/>
      <c r="Z261" s="876"/>
      <c r="AA261" s="879"/>
      <c r="AB261" s="879"/>
      <c r="AC261" s="882"/>
      <c r="AD261" s="58"/>
      <c r="AE261" s="79"/>
      <c r="AF261" s="59"/>
      <c r="AG261" s="9"/>
      <c r="AH261" s="928"/>
      <c r="AI261" s="915"/>
      <c r="AJ261" s="917"/>
      <c r="AK261" s="915"/>
      <c r="AL261" s="933"/>
      <c r="AM261" s="58"/>
    </row>
    <row r="262" spans="1:39" s="10" customFormat="1" ht="17.100000000000001" customHeight="1" x14ac:dyDescent="0.3">
      <c r="A262" s="937"/>
      <c r="B262" s="927" t="s">
        <v>18</v>
      </c>
      <c r="C262" s="927" t="s">
        <v>8</v>
      </c>
      <c r="D262" s="927">
        <v>54</v>
      </c>
      <c r="E262" s="11" t="s">
        <v>51</v>
      </c>
      <c r="F262" s="233">
        <v>2.01E-2</v>
      </c>
      <c r="G262" s="12">
        <v>10</v>
      </c>
      <c r="H262" s="118">
        <v>46366</v>
      </c>
      <c r="I262" s="13">
        <v>0.99</v>
      </c>
      <c r="J262" s="985" t="s">
        <v>9</v>
      </c>
      <c r="K262" s="343"/>
      <c r="L262" s="740"/>
      <c r="M262" s="944"/>
      <c r="N262" s="872"/>
      <c r="O262" s="872"/>
      <c r="P262" s="872"/>
      <c r="Q262" s="921"/>
      <c r="R262" s="1066"/>
      <c r="S262" s="1242"/>
      <c r="T262" s="872"/>
      <c r="U262" s="872"/>
      <c r="V262" s="872"/>
      <c r="W262" s="872"/>
      <c r="X262" s="921"/>
      <c r="Y262" s="872"/>
      <c r="Z262" s="876"/>
      <c r="AA262" s="879"/>
      <c r="AB262" s="879"/>
      <c r="AC262" s="882"/>
      <c r="AD262" s="58"/>
      <c r="AE262" s="79"/>
      <c r="AF262" s="59"/>
      <c r="AG262" s="9"/>
      <c r="AH262" s="928"/>
      <c r="AI262" s="915"/>
      <c r="AJ262" s="917"/>
      <c r="AK262" s="915"/>
      <c r="AL262" s="933"/>
      <c r="AM262" s="58"/>
    </row>
    <row r="263" spans="1:39" s="10" customFormat="1" ht="17.100000000000001" customHeight="1" x14ac:dyDescent="0.3">
      <c r="A263" s="939"/>
      <c r="B263" s="941" t="s">
        <v>18</v>
      </c>
      <c r="C263" s="941" t="s">
        <v>8</v>
      </c>
      <c r="D263" s="941">
        <v>54</v>
      </c>
      <c r="E263" s="24" t="s">
        <v>100</v>
      </c>
      <c r="F263" s="234">
        <v>0.2104</v>
      </c>
      <c r="G263" s="16">
        <v>10</v>
      </c>
      <c r="H263" s="119">
        <v>46366</v>
      </c>
      <c r="I263" s="17">
        <v>0.93</v>
      </c>
      <c r="J263" s="986" t="s">
        <v>89</v>
      </c>
      <c r="K263" s="344"/>
      <c r="L263" s="741"/>
      <c r="M263" s="945"/>
      <c r="N263" s="874"/>
      <c r="O263" s="874"/>
      <c r="P263" s="874"/>
      <c r="Q263" s="946"/>
      <c r="R263" s="1067"/>
      <c r="S263" s="1243"/>
      <c r="T263" s="874"/>
      <c r="U263" s="874"/>
      <c r="V263" s="874"/>
      <c r="W263" s="874"/>
      <c r="X263" s="946"/>
      <c r="Y263" s="874"/>
      <c r="Z263" s="877"/>
      <c r="AA263" s="880"/>
      <c r="AB263" s="880"/>
      <c r="AC263" s="883"/>
      <c r="AD263" s="60"/>
      <c r="AE263" s="80"/>
      <c r="AF263" s="61"/>
      <c r="AG263" s="9"/>
      <c r="AH263" s="928"/>
      <c r="AI263" s="915"/>
      <c r="AJ263" s="918"/>
      <c r="AK263" s="915"/>
      <c r="AL263" s="933"/>
      <c r="AM263" s="60"/>
    </row>
    <row r="264" spans="1:39" s="10" customFormat="1" ht="17.100000000000001" customHeight="1" x14ac:dyDescent="0.3">
      <c r="A264" s="936">
        <v>46142</v>
      </c>
      <c r="B264" s="922" t="s">
        <v>876</v>
      </c>
      <c r="C264" s="891" t="s">
        <v>194</v>
      </c>
      <c r="D264" s="383" t="s">
        <v>466</v>
      </c>
      <c r="E264" s="19"/>
      <c r="F264" s="224"/>
      <c r="G264" s="111"/>
      <c r="H264" s="121"/>
      <c r="I264" s="40" t="s">
        <v>338</v>
      </c>
      <c r="J264" s="926"/>
      <c r="K264" s="971"/>
      <c r="L264" s="974"/>
      <c r="M264" s="948" t="s">
        <v>417</v>
      </c>
      <c r="N264" s="98"/>
      <c r="O264" s="88"/>
      <c r="P264" s="137"/>
      <c r="Q264" s="297"/>
      <c r="R264" s="367"/>
      <c r="S264" s="367"/>
      <c r="T264" s="98"/>
      <c r="U264" s="95"/>
      <c r="V264" s="297"/>
      <c r="W264" s="95"/>
      <c r="X264" s="367"/>
      <c r="Y264" s="311"/>
      <c r="Z264" s="897">
        <v>45666</v>
      </c>
      <c r="AA264" s="878" t="s">
        <v>451</v>
      </c>
      <c r="AB264" s="878" t="s">
        <v>446</v>
      </c>
      <c r="AC264" s="881">
        <v>2400000</v>
      </c>
      <c r="AD264" s="56"/>
      <c r="AE264" s="78"/>
      <c r="AF264" s="57"/>
      <c r="AG264" s="9" t="s">
        <v>136</v>
      </c>
      <c r="AH264" s="1011"/>
      <c r="AI264" s="1015"/>
      <c r="AJ264" s="1007"/>
      <c r="AK264" s="1015"/>
      <c r="AL264" s="1006" t="s">
        <v>172</v>
      </c>
      <c r="AM264" s="56"/>
    </row>
    <row r="265" spans="1:39" s="10" customFormat="1" ht="17.100000000000001" customHeight="1" x14ac:dyDescent="0.3">
      <c r="A265" s="1083"/>
      <c r="B265" s="889"/>
      <c r="C265" s="889"/>
      <c r="D265" s="384" t="s">
        <v>175</v>
      </c>
      <c r="E265" s="20"/>
      <c r="F265" s="219"/>
      <c r="G265" s="109"/>
      <c r="H265" s="122"/>
      <c r="I265" s="112" t="s">
        <v>344</v>
      </c>
      <c r="J265" s="889"/>
      <c r="K265" s="972"/>
      <c r="L265" s="975"/>
      <c r="M265" s="949"/>
      <c r="N265" s="108"/>
      <c r="O265" s="108"/>
      <c r="P265" s="140"/>
      <c r="Q265" s="296"/>
      <c r="R265" s="873"/>
      <c r="S265" s="873"/>
      <c r="T265" s="108"/>
      <c r="U265" s="108"/>
      <c r="V265" s="296"/>
      <c r="W265" s="108"/>
      <c r="X265" s="873"/>
      <c r="Y265" s="873"/>
      <c r="Z265" s="876"/>
      <c r="AA265" s="879"/>
      <c r="AB265" s="879"/>
      <c r="AC265" s="882"/>
      <c r="AD265" s="58"/>
      <c r="AE265" s="83"/>
      <c r="AF265" s="73"/>
      <c r="AG265" s="9"/>
      <c r="AH265" s="1011"/>
      <c r="AI265" s="1015"/>
      <c r="AJ265" s="1008"/>
      <c r="AK265" s="1015"/>
      <c r="AL265" s="1006"/>
      <c r="AM265" s="58"/>
    </row>
    <row r="266" spans="1:39" s="10" customFormat="1" ht="17.100000000000001" customHeight="1" x14ac:dyDescent="0.3">
      <c r="A266" s="1083"/>
      <c r="B266" s="889"/>
      <c r="C266" s="889"/>
      <c r="D266" s="384" t="s">
        <v>176</v>
      </c>
      <c r="E266" s="20"/>
      <c r="F266" s="219"/>
      <c r="G266" s="109"/>
      <c r="H266" s="122"/>
      <c r="I266" s="112" t="s">
        <v>337</v>
      </c>
      <c r="J266" s="889"/>
      <c r="K266" s="972"/>
      <c r="L266" s="975"/>
      <c r="M266" s="949"/>
      <c r="N266" s="108"/>
      <c r="O266" s="108"/>
      <c r="P266" s="140"/>
      <c r="Q266" s="296"/>
      <c r="R266" s="921"/>
      <c r="S266" s="921"/>
      <c r="T266" s="108"/>
      <c r="U266" s="108"/>
      <c r="V266" s="296"/>
      <c r="W266" s="108"/>
      <c r="X266" s="921"/>
      <c r="Y266" s="921"/>
      <c r="Z266" s="876"/>
      <c r="AA266" s="879"/>
      <c r="AB266" s="879"/>
      <c r="AC266" s="882"/>
      <c r="AD266" s="58"/>
      <c r="AE266" s="83"/>
      <c r="AF266" s="73"/>
      <c r="AG266" s="9"/>
      <c r="AH266" s="1011"/>
      <c r="AI266" s="1015"/>
      <c r="AJ266" s="1008"/>
      <c r="AK266" s="1015"/>
      <c r="AL266" s="1006"/>
      <c r="AM266" s="58"/>
    </row>
    <row r="267" spans="1:39" s="10" customFormat="1" ht="17.100000000000001" customHeight="1" x14ac:dyDescent="0.3">
      <c r="A267" s="1083"/>
      <c r="B267" s="889"/>
      <c r="C267" s="889"/>
      <c r="D267" s="384" t="s">
        <v>177</v>
      </c>
      <c r="E267" s="20"/>
      <c r="F267" s="219"/>
      <c r="G267" s="109"/>
      <c r="H267" s="122"/>
      <c r="I267" s="112" t="s">
        <v>338</v>
      </c>
      <c r="J267" s="889"/>
      <c r="K267" s="972"/>
      <c r="L267" s="975"/>
      <c r="M267" s="949"/>
      <c r="N267" s="108"/>
      <c r="O267" s="108"/>
      <c r="P267" s="140"/>
      <c r="Q267" s="296"/>
      <c r="R267" s="921"/>
      <c r="S267" s="921"/>
      <c r="T267" s="108"/>
      <c r="U267" s="108"/>
      <c r="V267" s="296"/>
      <c r="W267" s="108"/>
      <c r="X267" s="921"/>
      <c r="Y267" s="921"/>
      <c r="Z267" s="1034"/>
      <c r="AA267" s="879"/>
      <c r="AB267" s="879"/>
      <c r="AC267" s="882"/>
      <c r="AD267" s="58"/>
      <c r="AE267" s="83"/>
      <c r="AF267" s="73"/>
      <c r="AG267" s="9"/>
      <c r="AH267" s="1011"/>
      <c r="AI267" s="1015"/>
      <c r="AJ267" s="1008"/>
      <c r="AK267" s="1015"/>
      <c r="AL267" s="1006"/>
      <c r="AM267" s="58"/>
    </row>
    <row r="268" spans="1:39" s="10" customFormat="1" ht="17.100000000000001" customHeight="1" x14ac:dyDescent="0.3">
      <c r="A268" s="1083"/>
      <c r="B268" s="889"/>
      <c r="C268" s="902"/>
      <c r="D268" s="384" t="s">
        <v>178</v>
      </c>
      <c r="E268" s="20"/>
      <c r="F268" s="219"/>
      <c r="G268" s="109"/>
      <c r="H268" s="122"/>
      <c r="I268" s="112" t="s">
        <v>338</v>
      </c>
      <c r="J268" s="889"/>
      <c r="K268" s="972"/>
      <c r="L268" s="975"/>
      <c r="M268" s="949"/>
      <c r="N268" s="108"/>
      <c r="O268" s="108"/>
      <c r="P268" s="140"/>
      <c r="Q268" s="296"/>
      <c r="R268" s="954"/>
      <c r="S268" s="954"/>
      <c r="T268" s="108"/>
      <c r="U268" s="108"/>
      <c r="V268" s="296"/>
      <c r="W268" s="671"/>
      <c r="X268" s="954"/>
      <c r="Y268" s="954"/>
      <c r="Z268" s="876"/>
      <c r="AA268" s="879"/>
      <c r="AB268" s="879"/>
      <c r="AC268" s="882"/>
      <c r="AD268" s="58"/>
      <c r="AE268" s="83"/>
      <c r="AF268" s="73"/>
      <c r="AG268" s="9"/>
      <c r="AH268" s="1011"/>
      <c r="AI268" s="1015"/>
      <c r="AJ268" s="1008"/>
      <c r="AK268" s="1015"/>
      <c r="AL268" s="1006"/>
      <c r="AM268" s="58"/>
    </row>
    <row r="269" spans="1:39" s="10" customFormat="1" ht="17.100000000000001" customHeight="1" x14ac:dyDescent="0.3">
      <c r="A269" s="939"/>
      <c r="B269" s="941" t="s">
        <v>27</v>
      </c>
      <c r="C269" s="76" t="s">
        <v>11</v>
      </c>
      <c r="D269" s="385" t="s">
        <v>179</v>
      </c>
      <c r="E269" s="24"/>
      <c r="F269" s="214"/>
      <c r="G269" s="110"/>
      <c r="H269" s="123"/>
      <c r="I269" s="41" t="s">
        <v>345</v>
      </c>
      <c r="J269" s="941"/>
      <c r="K269" s="973"/>
      <c r="L269" s="976"/>
      <c r="M269" s="950"/>
      <c r="N269" s="99"/>
      <c r="O269" s="90"/>
      <c r="P269" s="139"/>
      <c r="Q269" s="299"/>
      <c r="R269" s="369"/>
      <c r="S269" s="369"/>
      <c r="T269" s="99"/>
      <c r="U269" s="97"/>
      <c r="V269" s="299"/>
      <c r="W269" s="97"/>
      <c r="X269" s="369"/>
      <c r="Y269" s="313"/>
      <c r="Z269" s="877"/>
      <c r="AA269" s="880"/>
      <c r="AB269" s="880"/>
      <c r="AC269" s="883"/>
      <c r="AD269" s="60"/>
      <c r="AE269" s="80"/>
      <c r="AF269" s="61"/>
      <c r="AG269" s="9"/>
      <c r="AH269" s="1011"/>
      <c r="AI269" s="1015"/>
      <c r="AJ269" s="1009"/>
      <c r="AK269" s="1015"/>
      <c r="AL269" s="1006"/>
      <c r="AM269" s="60"/>
    </row>
    <row r="270" spans="1:39" s="10" customFormat="1" ht="17.100000000000001" customHeight="1" x14ac:dyDescent="0.3">
      <c r="A270" s="1082">
        <v>46142</v>
      </c>
      <c r="B270" s="926" t="s">
        <v>985</v>
      </c>
      <c r="C270" s="891" t="s">
        <v>133</v>
      </c>
      <c r="D270" s="926">
        <v>1</v>
      </c>
      <c r="E270" s="19" t="s">
        <v>2</v>
      </c>
      <c r="F270" s="389" t="s">
        <v>50</v>
      </c>
      <c r="G270" s="70">
        <v>10</v>
      </c>
      <c r="H270" s="117">
        <v>46233</v>
      </c>
      <c r="I270" s="7">
        <v>1</v>
      </c>
      <c r="J270" s="942" t="s">
        <v>347</v>
      </c>
      <c r="K270" s="345"/>
      <c r="L270" s="654"/>
      <c r="M270" s="943" t="s">
        <v>416</v>
      </c>
      <c r="N270" s="921">
        <v>44938</v>
      </c>
      <c r="O270" s="921">
        <v>45668</v>
      </c>
      <c r="P270" s="921">
        <v>46398</v>
      </c>
      <c r="Q270" s="921" t="s">
        <v>328</v>
      </c>
      <c r="R270" s="921"/>
      <c r="S270" s="1059"/>
      <c r="T270" s="921">
        <v>44859</v>
      </c>
      <c r="U270" s="921">
        <v>45589</v>
      </c>
      <c r="V270" s="921">
        <v>46319</v>
      </c>
      <c r="W270" s="921" t="s">
        <v>678</v>
      </c>
      <c r="X270" s="888"/>
      <c r="Y270" s="959" t="s">
        <v>820</v>
      </c>
      <c r="Z270" s="897">
        <v>46080</v>
      </c>
      <c r="AA270" s="878" t="s">
        <v>428</v>
      </c>
      <c r="AB270" s="878"/>
      <c r="AC270" s="881">
        <v>1180000</v>
      </c>
      <c r="AD270" s="56"/>
      <c r="AE270" s="78"/>
      <c r="AF270" s="57"/>
      <c r="AG270" s="23" t="s">
        <v>145</v>
      </c>
      <c r="AH270" s="928" t="s">
        <v>160</v>
      </c>
      <c r="AI270" s="915" t="s">
        <v>166</v>
      </c>
      <c r="AJ270" s="916" t="s">
        <v>160</v>
      </c>
      <c r="AK270" s="915" t="s">
        <v>171</v>
      </c>
      <c r="AL270" s="933"/>
      <c r="AM270" s="56"/>
    </row>
    <row r="271" spans="1:39" s="10" customFormat="1" ht="17.100000000000001" customHeight="1" x14ac:dyDescent="0.3">
      <c r="A271" s="1083"/>
      <c r="B271" s="927"/>
      <c r="C271" s="889"/>
      <c r="D271" s="940">
        <v>1</v>
      </c>
      <c r="E271" s="33" t="s">
        <v>103</v>
      </c>
      <c r="F271" s="272" t="s">
        <v>238</v>
      </c>
      <c r="G271" s="267">
        <v>10</v>
      </c>
      <c r="H271" s="269">
        <v>46156</v>
      </c>
      <c r="I271" s="34">
        <v>0.97</v>
      </c>
      <c r="J271" s="940"/>
      <c r="K271" s="346"/>
      <c r="L271" s="606"/>
      <c r="M271" s="944"/>
      <c r="N271" s="921"/>
      <c r="O271" s="921"/>
      <c r="P271" s="921"/>
      <c r="Q271" s="921"/>
      <c r="R271" s="921"/>
      <c r="S271" s="921"/>
      <c r="T271" s="921"/>
      <c r="U271" s="921"/>
      <c r="V271" s="921"/>
      <c r="W271" s="921"/>
      <c r="X271" s="921"/>
      <c r="Y271" s="921"/>
      <c r="Z271" s="876"/>
      <c r="AA271" s="879"/>
      <c r="AB271" s="879"/>
      <c r="AC271" s="882"/>
      <c r="AD271" s="62"/>
      <c r="AE271" s="80"/>
      <c r="AF271" s="61">
        <v>44704</v>
      </c>
      <c r="AG271" s="9"/>
      <c r="AH271" s="928"/>
      <c r="AI271" s="915"/>
      <c r="AJ271" s="918"/>
      <c r="AK271" s="915"/>
      <c r="AL271" s="933"/>
      <c r="AM271" s="62"/>
    </row>
    <row r="272" spans="1:39" s="10" customFormat="1" ht="17.100000000000001" customHeight="1" x14ac:dyDescent="0.3">
      <c r="A272" s="1083"/>
      <c r="B272" s="927"/>
      <c r="C272" s="889"/>
      <c r="D272" s="1075">
        <v>2</v>
      </c>
      <c r="E272" s="195" t="s">
        <v>2</v>
      </c>
      <c r="F272" s="388" t="s">
        <v>50</v>
      </c>
      <c r="G272" s="271">
        <v>10</v>
      </c>
      <c r="H272" s="197">
        <v>46436</v>
      </c>
      <c r="I272" s="198">
        <v>1</v>
      </c>
      <c r="J272" s="988" t="s">
        <v>347</v>
      </c>
      <c r="K272" s="855"/>
      <c r="L272" s="856"/>
      <c r="M272" s="944"/>
      <c r="N272" s="873">
        <v>44396</v>
      </c>
      <c r="O272" s="873">
        <v>45856</v>
      </c>
      <c r="P272" s="873">
        <v>46221</v>
      </c>
      <c r="Q272" s="873" t="s">
        <v>476</v>
      </c>
      <c r="R272" s="873"/>
      <c r="S272" s="1129"/>
      <c r="T272" s="873">
        <v>44425</v>
      </c>
      <c r="U272" s="873">
        <v>45885</v>
      </c>
      <c r="V272" s="873">
        <v>46250</v>
      </c>
      <c r="W272" s="873" t="s">
        <v>476</v>
      </c>
      <c r="X272" s="873" t="s">
        <v>802</v>
      </c>
      <c r="Y272" s="921"/>
      <c r="Z272" s="876"/>
      <c r="AA272" s="879"/>
      <c r="AB272" s="879"/>
      <c r="AC272" s="882"/>
      <c r="AD272" s="273"/>
      <c r="AE272" s="78"/>
      <c r="AF272" s="57"/>
      <c r="AG272" s="23" t="s">
        <v>136</v>
      </c>
      <c r="AH272" s="928" t="s">
        <v>160</v>
      </c>
      <c r="AI272" s="915" t="s">
        <v>166</v>
      </c>
      <c r="AJ272" s="916" t="s">
        <v>160</v>
      </c>
      <c r="AK272" s="915" t="s">
        <v>171</v>
      </c>
      <c r="AL272" s="933"/>
      <c r="AM272" s="273"/>
    </row>
    <row r="273" spans="1:39" s="10" customFormat="1" ht="17.100000000000001" customHeight="1" x14ac:dyDescent="0.3">
      <c r="A273" s="1084"/>
      <c r="B273" s="941"/>
      <c r="C273" s="890"/>
      <c r="D273" s="941">
        <v>1</v>
      </c>
      <c r="E273" s="24" t="s">
        <v>103</v>
      </c>
      <c r="F273" s="242" t="s">
        <v>238</v>
      </c>
      <c r="G273" s="268">
        <v>10</v>
      </c>
      <c r="H273" s="270">
        <v>46436</v>
      </c>
      <c r="I273" s="17">
        <v>1</v>
      </c>
      <c r="J273" s="941"/>
      <c r="K273" s="344"/>
      <c r="L273" s="839"/>
      <c r="M273" s="945"/>
      <c r="N273" s="946"/>
      <c r="O273" s="946"/>
      <c r="P273" s="946"/>
      <c r="Q273" s="946"/>
      <c r="R273" s="946"/>
      <c r="S273" s="1060"/>
      <c r="T273" s="946"/>
      <c r="U273" s="946"/>
      <c r="V273" s="946"/>
      <c r="W273" s="946"/>
      <c r="X273" s="946"/>
      <c r="Y273" s="946"/>
      <c r="Z273" s="877"/>
      <c r="AA273" s="880"/>
      <c r="AB273" s="880"/>
      <c r="AC273" s="883"/>
      <c r="AD273" s="60"/>
      <c r="AE273" s="80"/>
      <c r="AF273" s="61">
        <v>44704</v>
      </c>
      <c r="AG273" s="9"/>
      <c r="AH273" s="928"/>
      <c r="AI273" s="915"/>
      <c r="AJ273" s="918"/>
      <c r="AK273" s="915"/>
      <c r="AL273" s="933"/>
      <c r="AM273" s="60"/>
    </row>
    <row r="274" spans="1:39" s="10" customFormat="1" ht="17.100000000000001" customHeight="1" x14ac:dyDescent="0.3">
      <c r="A274" s="936">
        <v>46173</v>
      </c>
      <c r="B274" s="926" t="s">
        <v>986</v>
      </c>
      <c r="C274" s="926" t="s">
        <v>8</v>
      </c>
      <c r="D274" s="926">
        <v>1</v>
      </c>
      <c r="E274" s="19" t="s">
        <v>49</v>
      </c>
      <c r="F274" s="224" t="s">
        <v>50</v>
      </c>
      <c r="G274" s="101">
        <v>10</v>
      </c>
      <c r="H274" s="117"/>
      <c r="I274" s="7">
        <v>0.8</v>
      </c>
      <c r="J274" s="942" t="s">
        <v>347</v>
      </c>
      <c r="K274" s="345"/>
      <c r="L274" s="638"/>
      <c r="M274" s="948" t="s">
        <v>417</v>
      </c>
      <c r="N274" s="871">
        <v>44684</v>
      </c>
      <c r="O274" s="871">
        <v>45414</v>
      </c>
      <c r="P274" s="871">
        <v>46144</v>
      </c>
      <c r="Q274" s="888" t="s">
        <v>286</v>
      </c>
      <c r="R274" s="1224" t="s">
        <v>1040</v>
      </c>
      <c r="S274" s="1194" t="s">
        <v>1041</v>
      </c>
      <c r="T274" s="871">
        <v>44553</v>
      </c>
      <c r="U274" s="871">
        <v>46013</v>
      </c>
      <c r="V274" s="871">
        <v>46378</v>
      </c>
      <c r="W274" s="871" t="s">
        <v>581</v>
      </c>
      <c r="X274" s="926"/>
      <c r="Y274" s="871"/>
      <c r="Z274" s="897">
        <v>46058</v>
      </c>
      <c r="AA274" s="878" t="s">
        <v>428</v>
      </c>
      <c r="AB274" s="878" t="s">
        <v>430</v>
      </c>
      <c r="AC274" s="881">
        <f>6738000/6</f>
        <v>1123000</v>
      </c>
      <c r="AD274" s="56"/>
      <c r="AE274" s="78"/>
      <c r="AF274" s="57"/>
      <c r="AG274" s="9" t="s">
        <v>136</v>
      </c>
      <c r="AH274" s="928" t="s">
        <v>160</v>
      </c>
      <c r="AI274" s="915" t="s">
        <v>166</v>
      </c>
      <c r="AJ274" s="916" t="s">
        <v>161</v>
      </c>
      <c r="AK274" s="915"/>
      <c r="AL274" s="933"/>
      <c r="AM274" s="56"/>
    </row>
    <row r="275" spans="1:39" s="10" customFormat="1" ht="17.100000000000001" customHeight="1" x14ac:dyDescent="0.3">
      <c r="A275" s="937"/>
      <c r="B275" s="927" t="s">
        <v>18</v>
      </c>
      <c r="C275" s="927" t="s">
        <v>8</v>
      </c>
      <c r="D275" s="927">
        <v>54</v>
      </c>
      <c r="E275" s="20" t="s">
        <v>102</v>
      </c>
      <c r="F275" s="243" t="s">
        <v>239</v>
      </c>
      <c r="G275" s="103">
        <v>10</v>
      </c>
      <c r="H275" s="29">
        <v>46219</v>
      </c>
      <c r="I275" s="13">
        <v>0.85</v>
      </c>
      <c r="J275" s="985" t="s">
        <v>9</v>
      </c>
      <c r="K275" s="343"/>
      <c r="L275" s="636"/>
      <c r="M275" s="949"/>
      <c r="N275" s="872"/>
      <c r="O275" s="872"/>
      <c r="P275" s="872"/>
      <c r="Q275" s="921"/>
      <c r="R275" s="1195"/>
      <c r="S275" s="1195"/>
      <c r="T275" s="872"/>
      <c r="U275" s="872"/>
      <c r="V275" s="872"/>
      <c r="W275" s="872"/>
      <c r="X275" s="927"/>
      <c r="Y275" s="872"/>
      <c r="Z275" s="876"/>
      <c r="AA275" s="879"/>
      <c r="AB275" s="879"/>
      <c r="AC275" s="882"/>
      <c r="AD275" s="58"/>
      <c r="AE275" s="79"/>
      <c r="AF275" s="59"/>
      <c r="AG275" s="9"/>
      <c r="AH275" s="928"/>
      <c r="AI275" s="915"/>
      <c r="AJ275" s="917"/>
      <c r="AK275" s="915"/>
      <c r="AL275" s="933"/>
      <c r="AM275" s="58"/>
    </row>
    <row r="276" spans="1:39" s="10" customFormat="1" ht="17.100000000000001" customHeight="1" x14ac:dyDescent="0.3">
      <c r="A276" s="937"/>
      <c r="B276" s="927" t="s">
        <v>18</v>
      </c>
      <c r="C276" s="927" t="s">
        <v>8</v>
      </c>
      <c r="D276" s="927">
        <v>54</v>
      </c>
      <c r="E276" s="11" t="s">
        <v>51</v>
      </c>
      <c r="F276" s="233">
        <v>2.0199999999999999E-2</v>
      </c>
      <c r="G276" s="103">
        <v>10</v>
      </c>
      <c r="H276" s="29">
        <v>46219</v>
      </c>
      <c r="I276" s="13">
        <v>0.95</v>
      </c>
      <c r="J276" s="985" t="s">
        <v>9</v>
      </c>
      <c r="K276" s="343"/>
      <c r="L276" s="636"/>
      <c r="M276" s="949"/>
      <c r="N276" s="872"/>
      <c r="O276" s="872"/>
      <c r="P276" s="872"/>
      <c r="Q276" s="921"/>
      <c r="R276" s="1195"/>
      <c r="S276" s="1195"/>
      <c r="T276" s="872"/>
      <c r="U276" s="872"/>
      <c r="V276" s="872"/>
      <c r="W276" s="872"/>
      <c r="X276" s="927"/>
      <c r="Y276" s="872"/>
      <c r="Z276" s="876"/>
      <c r="AA276" s="879"/>
      <c r="AB276" s="879"/>
      <c r="AC276" s="882"/>
      <c r="AD276" s="58"/>
      <c r="AE276" s="79"/>
      <c r="AF276" s="59"/>
      <c r="AG276" s="9"/>
      <c r="AH276" s="928"/>
      <c r="AI276" s="915"/>
      <c r="AJ276" s="917"/>
      <c r="AK276" s="915"/>
      <c r="AL276" s="933"/>
      <c r="AM276" s="58"/>
    </row>
    <row r="277" spans="1:39" s="10" customFormat="1" ht="17.100000000000001" customHeight="1" x14ac:dyDescent="0.3">
      <c r="A277" s="939"/>
      <c r="B277" s="941" t="s">
        <v>18</v>
      </c>
      <c r="C277" s="941" t="s">
        <v>8</v>
      </c>
      <c r="D277" s="941">
        <v>54</v>
      </c>
      <c r="E277" s="24" t="s">
        <v>100</v>
      </c>
      <c r="F277" s="237">
        <v>0.21010000000000001</v>
      </c>
      <c r="G277" s="102">
        <v>10</v>
      </c>
      <c r="H277" s="29">
        <v>46219</v>
      </c>
      <c r="I277" s="17">
        <v>0.95</v>
      </c>
      <c r="J277" s="986" t="s">
        <v>9</v>
      </c>
      <c r="K277" s="344"/>
      <c r="L277" s="637"/>
      <c r="M277" s="950"/>
      <c r="N277" s="874"/>
      <c r="O277" s="874"/>
      <c r="P277" s="874"/>
      <c r="Q277" s="946"/>
      <c r="R277" s="1196"/>
      <c r="S277" s="1196"/>
      <c r="T277" s="874"/>
      <c r="U277" s="874"/>
      <c r="V277" s="874"/>
      <c r="W277" s="874"/>
      <c r="X277" s="941"/>
      <c r="Y277" s="874"/>
      <c r="Z277" s="877"/>
      <c r="AA277" s="880"/>
      <c r="AB277" s="880"/>
      <c r="AC277" s="883"/>
      <c r="AD277" s="60"/>
      <c r="AE277" s="80"/>
      <c r="AF277" s="61"/>
      <c r="AG277" s="9"/>
      <c r="AH277" s="928"/>
      <c r="AI277" s="915"/>
      <c r="AJ277" s="918"/>
      <c r="AK277" s="915"/>
      <c r="AL277" s="933"/>
      <c r="AM277" s="60"/>
    </row>
    <row r="278" spans="1:39" s="10" customFormat="1" ht="17.100000000000001" customHeight="1" x14ac:dyDescent="0.3">
      <c r="A278" s="1087">
        <v>46387</v>
      </c>
      <c r="B278" s="926" t="s">
        <v>888</v>
      </c>
      <c r="C278" s="891" t="s">
        <v>8</v>
      </c>
      <c r="D278" s="926">
        <v>2</v>
      </c>
      <c r="E278" s="19" t="s">
        <v>321</v>
      </c>
      <c r="F278" s="287" t="s">
        <v>242</v>
      </c>
      <c r="G278" s="145">
        <v>10</v>
      </c>
      <c r="H278" s="148">
        <v>46394</v>
      </c>
      <c r="I278" s="7">
        <v>1</v>
      </c>
      <c r="J278" s="960" t="s">
        <v>15</v>
      </c>
      <c r="K278" s="971"/>
      <c r="L278" s="974"/>
      <c r="M278" s="968" t="s">
        <v>555</v>
      </c>
      <c r="N278" s="982"/>
      <c r="O278" s="979">
        <v>45204</v>
      </c>
      <c r="P278" s="888">
        <v>45570</v>
      </c>
      <c r="Q278" s="888"/>
      <c r="R278" s="888" t="s">
        <v>508</v>
      </c>
      <c r="S278" s="960"/>
      <c r="T278" s="979"/>
      <c r="U278" s="979">
        <v>45564</v>
      </c>
      <c r="V278" s="888">
        <v>45929</v>
      </c>
      <c r="W278" s="888"/>
      <c r="X278" s="888" t="s">
        <v>508</v>
      </c>
      <c r="Y278" s="888"/>
      <c r="Z278" s="897"/>
      <c r="AA278" s="878"/>
      <c r="AB278" s="878"/>
      <c r="AC278" s="881">
        <v>2100000</v>
      </c>
      <c r="AD278" s="326" t="s">
        <v>860</v>
      </c>
      <c r="AE278" s="78"/>
      <c r="AF278" s="57"/>
      <c r="AG278" s="9" t="s">
        <v>138</v>
      </c>
      <c r="AH278" s="1019"/>
      <c r="AI278" s="1027"/>
      <c r="AJ278" s="999"/>
      <c r="AK278" s="1027"/>
      <c r="AL278" s="1016" t="s">
        <v>174</v>
      </c>
      <c r="AM278" s="56"/>
    </row>
    <row r="279" spans="1:39" s="10" customFormat="1" ht="17.100000000000001" customHeight="1" x14ac:dyDescent="0.3">
      <c r="A279" s="937"/>
      <c r="B279" s="927" t="s">
        <v>48</v>
      </c>
      <c r="C279" s="889"/>
      <c r="D279" s="923">
        <v>1</v>
      </c>
      <c r="E279" s="181" t="s">
        <v>49</v>
      </c>
      <c r="F279" s="229" t="s">
        <v>50</v>
      </c>
      <c r="G279" s="182">
        <v>10</v>
      </c>
      <c r="H279" s="183">
        <v>46394</v>
      </c>
      <c r="I279" s="184">
        <v>1</v>
      </c>
      <c r="J279" s="925" t="s">
        <v>15</v>
      </c>
      <c r="K279" s="972"/>
      <c r="L279" s="975"/>
      <c r="M279" s="970"/>
      <c r="N279" s="983"/>
      <c r="O279" s="957"/>
      <c r="P279" s="921"/>
      <c r="Q279" s="921"/>
      <c r="R279" s="921"/>
      <c r="S279" s="925"/>
      <c r="T279" s="957"/>
      <c r="U279" s="957"/>
      <c r="V279" s="921"/>
      <c r="W279" s="921"/>
      <c r="X279" s="921"/>
      <c r="Y279" s="921"/>
      <c r="Z279" s="1018"/>
      <c r="AA279" s="879"/>
      <c r="AB279" s="879"/>
      <c r="AC279" s="882"/>
      <c r="AD279" s="325" t="s">
        <v>859</v>
      </c>
      <c r="AE279" s="79"/>
      <c r="AF279" s="59"/>
      <c r="AG279" s="9"/>
      <c r="AH279" s="1019"/>
      <c r="AI279" s="1027"/>
      <c r="AJ279" s="1000"/>
      <c r="AK279" s="1027"/>
      <c r="AL279" s="1016"/>
      <c r="AM279" s="58"/>
    </row>
    <row r="280" spans="1:39" s="10" customFormat="1" ht="17.100000000000001" customHeight="1" x14ac:dyDescent="0.3">
      <c r="A280" s="937"/>
      <c r="B280" s="927" t="s">
        <v>48</v>
      </c>
      <c r="C280" s="889"/>
      <c r="D280" s="902">
        <v>8</v>
      </c>
      <c r="E280" s="35" t="s">
        <v>131</v>
      </c>
      <c r="F280" s="248" t="s">
        <v>238</v>
      </c>
      <c r="G280" s="156">
        <v>10</v>
      </c>
      <c r="H280" s="152">
        <v>46394</v>
      </c>
      <c r="I280" s="36">
        <v>1</v>
      </c>
      <c r="J280" s="925" t="s">
        <v>15</v>
      </c>
      <c r="K280" s="977"/>
      <c r="L280" s="975"/>
      <c r="M280" s="970"/>
      <c r="N280" s="983"/>
      <c r="O280" s="957"/>
      <c r="P280" s="921"/>
      <c r="Q280" s="921"/>
      <c r="R280" s="921"/>
      <c r="S280" s="925"/>
      <c r="T280" s="957"/>
      <c r="U280" s="957"/>
      <c r="V280" s="921"/>
      <c r="W280" s="921"/>
      <c r="X280" s="921"/>
      <c r="Y280" s="921"/>
      <c r="Z280" s="1034">
        <v>46080</v>
      </c>
      <c r="AA280" s="879"/>
      <c r="AB280" s="879"/>
      <c r="AC280" s="882"/>
      <c r="AD280" s="58"/>
      <c r="AE280" s="79"/>
      <c r="AF280" s="59"/>
      <c r="AG280" s="9"/>
      <c r="AH280" s="1019"/>
      <c r="AI280" s="1027"/>
      <c r="AJ280" s="1000"/>
      <c r="AK280" s="1027"/>
      <c r="AL280" s="1016"/>
      <c r="AM280" s="58"/>
    </row>
    <row r="281" spans="1:39" s="10" customFormat="1" ht="17.100000000000001" customHeight="1" x14ac:dyDescent="0.3">
      <c r="A281" s="938"/>
      <c r="B281" s="940"/>
      <c r="C281" s="889"/>
      <c r="D281" s="889"/>
      <c r="E281" s="54" t="s">
        <v>741</v>
      </c>
      <c r="F281" s="401">
        <v>0.21</v>
      </c>
      <c r="G281" s="587">
        <v>10</v>
      </c>
      <c r="H281" s="588">
        <v>46336</v>
      </c>
      <c r="I281" s="589">
        <v>0.9</v>
      </c>
      <c r="J281" s="925"/>
      <c r="K281" s="977"/>
      <c r="L281" s="975"/>
      <c r="M281" s="970"/>
      <c r="N281" s="956"/>
      <c r="O281" s="957"/>
      <c r="P281" s="921"/>
      <c r="Q281" s="921"/>
      <c r="R281" s="921"/>
      <c r="S281" s="925"/>
      <c r="T281" s="957"/>
      <c r="U281" s="957"/>
      <c r="V281" s="921"/>
      <c r="W281" s="921"/>
      <c r="X281" s="921"/>
      <c r="Y281" s="921"/>
      <c r="Z281" s="876"/>
      <c r="AA281" s="879"/>
      <c r="AB281" s="879"/>
      <c r="AC281" s="882"/>
      <c r="AD281" s="62"/>
      <c r="AE281" s="81"/>
      <c r="AF281" s="63"/>
      <c r="AG281" s="9"/>
      <c r="AH281" s="1019"/>
      <c r="AI281" s="1027"/>
      <c r="AJ281" s="1000"/>
      <c r="AK281" s="1027"/>
      <c r="AL281" s="1016"/>
      <c r="AM281" s="62"/>
    </row>
    <row r="282" spans="1:39" s="10" customFormat="1" ht="17.100000000000001" customHeight="1" x14ac:dyDescent="0.3">
      <c r="A282" s="939"/>
      <c r="B282" s="941" t="s">
        <v>87</v>
      </c>
      <c r="C282" s="890"/>
      <c r="D282" s="941">
        <v>2</v>
      </c>
      <c r="E282" s="15" t="s">
        <v>742</v>
      </c>
      <c r="F282" s="218" t="s">
        <v>50</v>
      </c>
      <c r="G282" s="16">
        <v>10</v>
      </c>
      <c r="H282" s="119">
        <v>46336</v>
      </c>
      <c r="I282" s="17">
        <v>0.85</v>
      </c>
      <c r="J282" s="961" t="s">
        <v>15</v>
      </c>
      <c r="K282" s="978"/>
      <c r="L282" s="976"/>
      <c r="M282" s="969"/>
      <c r="N282" s="984"/>
      <c r="O282" s="1002"/>
      <c r="P282" s="946"/>
      <c r="Q282" s="946"/>
      <c r="R282" s="946"/>
      <c r="S282" s="961"/>
      <c r="T282" s="1002"/>
      <c r="U282" s="1002"/>
      <c r="V282" s="946"/>
      <c r="W282" s="946"/>
      <c r="X282" s="946"/>
      <c r="Y282" s="946"/>
      <c r="Z282" s="877"/>
      <c r="AA282" s="880"/>
      <c r="AB282" s="880"/>
      <c r="AC282" s="883"/>
      <c r="AD282" s="60"/>
      <c r="AE282" s="80"/>
      <c r="AF282" s="61"/>
      <c r="AG282" s="9"/>
      <c r="AH282" s="1019"/>
      <c r="AI282" s="1027"/>
      <c r="AJ282" s="1001"/>
      <c r="AK282" s="1027"/>
      <c r="AL282" s="1016"/>
      <c r="AM282" s="60"/>
    </row>
    <row r="283" spans="1:39" s="10" customFormat="1" ht="17.100000000000001" customHeight="1" x14ac:dyDescent="0.3">
      <c r="A283" s="959">
        <v>46387</v>
      </c>
      <c r="B283" s="891" t="s">
        <v>987</v>
      </c>
      <c r="C283" s="891" t="s">
        <v>130</v>
      </c>
      <c r="D283" s="913" t="s">
        <v>701</v>
      </c>
      <c r="E283" s="19" t="s">
        <v>182</v>
      </c>
      <c r="F283" s="224" t="s">
        <v>50</v>
      </c>
      <c r="G283" s="258">
        <v>10</v>
      </c>
      <c r="H283" s="261"/>
      <c r="I283" s="7">
        <v>1</v>
      </c>
      <c r="J283" s="960" t="s">
        <v>599</v>
      </c>
      <c r="K283" s="971"/>
      <c r="L283" s="974"/>
      <c r="M283" s="943" t="s">
        <v>416</v>
      </c>
      <c r="N283" s="979">
        <v>44924</v>
      </c>
      <c r="O283" s="888">
        <v>45654</v>
      </c>
      <c r="P283" s="888">
        <v>46384</v>
      </c>
      <c r="Q283" s="888" t="s">
        <v>334</v>
      </c>
      <c r="R283" s="871"/>
      <c r="S283" s="1197"/>
      <c r="T283" s="873">
        <v>44881</v>
      </c>
      <c r="U283" s="873">
        <v>45611</v>
      </c>
      <c r="V283" s="873">
        <v>46341</v>
      </c>
      <c r="W283" s="873" t="s">
        <v>704</v>
      </c>
      <c r="X283" s="1043"/>
      <c r="Y283" s="959" t="s">
        <v>699</v>
      </c>
      <c r="Z283" s="897">
        <v>46066</v>
      </c>
      <c r="AA283" s="878" t="s">
        <v>477</v>
      </c>
      <c r="AB283" s="878"/>
      <c r="AC283" s="881">
        <v>2550000</v>
      </c>
      <c r="AD283" s="56"/>
      <c r="AE283" s="56"/>
      <c r="AF283" s="56"/>
      <c r="AG283" s="9" t="s">
        <v>137</v>
      </c>
      <c r="AH283" s="928" t="s">
        <v>160</v>
      </c>
      <c r="AI283" s="915" t="s">
        <v>166</v>
      </c>
      <c r="AJ283" s="916" t="s">
        <v>160</v>
      </c>
      <c r="AK283" s="915" t="s">
        <v>171</v>
      </c>
      <c r="AL283" s="933"/>
      <c r="AM283" s="56"/>
    </row>
    <row r="284" spans="1:39" s="10" customFormat="1" ht="17.100000000000001" customHeight="1" x14ac:dyDescent="0.3">
      <c r="A284" s="921"/>
      <c r="B284" s="889"/>
      <c r="C284" s="889"/>
      <c r="D284" s="889"/>
      <c r="E284" s="11" t="s">
        <v>110</v>
      </c>
      <c r="F284" s="243" t="s">
        <v>243</v>
      </c>
      <c r="G284" s="256">
        <v>10</v>
      </c>
      <c r="H284" s="260">
        <v>46371</v>
      </c>
      <c r="I284" s="13">
        <v>1</v>
      </c>
      <c r="J284" s="925"/>
      <c r="K284" s="972"/>
      <c r="L284" s="975"/>
      <c r="M284" s="944"/>
      <c r="N284" s="957"/>
      <c r="O284" s="921"/>
      <c r="P284" s="921"/>
      <c r="Q284" s="921"/>
      <c r="R284" s="872"/>
      <c r="S284" s="995"/>
      <c r="T284" s="921"/>
      <c r="U284" s="921"/>
      <c r="V284" s="921"/>
      <c r="W284" s="921"/>
      <c r="X284" s="1043"/>
      <c r="Y284" s="1059"/>
      <c r="Z284" s="876"/>
      <c r="AA284" s="879"/>
      <c r="AB284" s="879"/>
      <c r="AC284" s="882"/>
      <c r="AD284" s="546" t="s">
        <v>702</v>
      </c>
      <c r="AE284" s="64"/>
      <c r="AF284" s="62">
        <v>44764</v>
      </c>
      <c r="AG284" s="9" t="s">
        <v>274</v>
      </c>
      <c r="AH284" s="928"/>
      <c r="AI284" s="915"/>
      <c r="AJ284" s="917"/>
      <c r="AK284" s="915"/>
      <c r="AL284" s="933"/>
      <c r="AM284" s="327" t="s">
        <v>864</v>
      </c>
    </row>
    <row r="285" spans="1:39" s="10" customFormat="1" ht="17.100000000000001" customHeight="1" x14ac:dyDescent="0.3">
      <c r="A285" s="921"/>
      <c r="B285" s="889"/>
      <c r="C285" s="889"/>
      <c r="D285" s="951"/>
      <c r="E285" s="181" t="s">
        <v>100</v>
      </c>
      <c r="F285" s="253">
        <v>0.2135</v>
      </c>
      <c r="G285" s="263">
        <v>10</v>
      </c>
      <c r="H285" s="183">
        <v>46317</v>
      </c>
      <c r="I285" s="184">
        <v>1</v>
      </c>
      <c r="J285" s="925"/>
      <c r="K285" s="972"/>
      <c r="L285" s="975"/>
      <c r="M285" s="944"/>
      <c r="N285" s="958"/>
      <c r="O285" s="954"/>
      <c r="P285" s="954"/>
      <c r="Q285" s="954"/>
      <c r="R285" s="872"/>
      <c r="S285" s="995"/>
      <c r="T285" s="954"/>
      <c r="U285" s="954"/>
      <c r="V285" s="954"/>
      <c r="W285" s="954"/>
      <c r="X285" s="1043"/>
      <c r="Y285" s="1059"/>
      <c r="Z285" s="876"/>
      <c r="AA285" s="879"/>
      <c r="AB285" s="879"/>
      <c r="AC285" s="882"/>
      <c r="AD285" s="64"/>
      <c r="AE285" s="64"/>
      <c r="AF285" s="62">
        <v>44764</v>
      </c>
      <c r="AG285" s="9"/>
      <c r="AH285" s="928"/>
      <c r="AI285" s="915"/>
      <c r="AJ285" s="917"/>
      <c r="AK285" s="915"/>
      <c r="AL285" s="933"/>
      <c r="AM285" s="64"/>
    </row>
    <row r="286" spans="1:39" ht="17.100000000000001" customHeight="1" x14ac:dyDescent="0.3">
      <c r="A286" s="921"/>
      <c r="B286" s="889"/>
      <c r="C286" s="889"/>
      <c r="D286" s="980" t="s">
        <v>739</v>
      </c>
      <c r="E286" s="203" t="s">
        <v>182</v>
      </c>
      <c r="F286" s="230" t="s">
        <v>50</v>
      </c>
      <c r="G286" s="264">
        <v>10</v>
      </c>
      <c r="H286" s="197"/>
      <c r="I286" s="198">
        <v>0.79</v>
      </c>
      <c r="J286" s="925"/>
      <c r="K286" s="972"/>
      <c r="L286" s="975"/>
      <c r="M286" s="944"/>
      <c r="N286" s="956">
        <v>44924</v>
      </c>
      <c r="O286" s="873">
        <v>45654</v>
      </c>
      <c r="P286" s="873">
        <v>46384</v>
      </c>
      <c r="Q286" s="921" t="s">
        <v>707</v>
      </c>
      <c r="R286" s="872"/>
      <c r="S286" s="995"/>
      <c r="T286" s="873">
        <v>45033</v>
      </c>
      <c r="U286" s="873">
        <v>45611</v>
      </c>
      <c r="V286" s="873">
        <v>46341</v>
      </c>
      <c r="W286" s="873" t="s">
        <v>705</v>
      </c>
      <c r="X286" s="872"/>
      <c r="Y286" s="1059"/>
      <c r="Z286" s="876"/>
      <c r="AA286" s="879"/>
      <c r="AB286" s="879"/>
      <c r="AC286" s="882"/>
      <c r="AD286" s="58"/>
      <c r="AE286" s="58"/>
      <c r="AF286" s="58"/>
      <c r="AG286" s="38"/>
      <c r="AH286" s="928"/>
      <c r="AI286" s="915"/>
      <c r="AJ286" s="917"/>
      <c r="AK286" s="915"/>
      <c r="AL286" s="933"/>
      <c r="AM286" s="58"/>
    </row>
    <row r="287" spans="1:39" ht="17.100000000000001" customHeight="1" x14ac:dyDescent="0.3">
      <c r="A287" s="921"/>
      <c r="B287" s="889"/>
      <c r="C287" s="889"/>
      <c r="D287" s="940"/>
      <c r="E287" s="68" t="s">
        <v>102</v>
      </c>
      <c r="F287" s="243" t="s">
        <v>244</v>
      </c>
      <c r="G287" s="256">
        <v>10</v>
      </c>
      <c r="H287" s="260">
        <f>H284</f>
        <v>46371</v>
      </c>
      <c r="I287" s="34">
        <f>I284</f>
        <v>1</v>
      </c>
      <c r="J287" s="925"/>
      <c r="K287" s="972"/>
      <c r="L287" s="975"/>
      <c r="M287" s="944"/>
      <c r="N287" s="957"/>
      <c r="O287" s="921"/>
      <c r="P287" s="921"/>
      <c r="Q287" s="921"/>
      <c r="R287" s="872"/>
      <c r="S287" s="995"/>
      <c r="T287" s="921"/>
      <c r="U287" s="921"/>
      <c r="V287" s="921"/>
      <c r="W287" s="921"/>
      <c r="X287" s="872"/>
      <c r="Y287" s="1059"/>
      <c r="Z287" s="876"/>
      <c r="AA287" s="879"/>
      <c r="AB287" s="879"/>
      <c r="AC287" s="882"/>
      <c r="AD287" s="62"/>
      <c r="AE287" s="62"/>
      <c r="AF287" s="62">
        <v>44764</v>
      </c>
      <c r="AG287" s="38"/>
      <c r="AH287" s="928"/>
      <c r="AI287" s="915"/>
      <c r="AJ287" s="917"/>
      <c r="AK287" s="915"/>
      <c r="AL287" s="933"/>
      <c r="AM287" s="62"/>
    </row>
    <row r="288" spans="1:39" ht="17.100000000000001" customHeight="1" x14ac:dyDescent="0.3">
      <c r="A288" s="921"/>
      <c r="B288" s="889"/>
      <c r="C288" s="889"/>
      <c r="D288" s="923">
        <v>5</v>
      </c>
      <c r="E288" s="181" t="s">
        <v>100</v>
      </c>
      <c r="F288" s="253">
        <v>0.2135</v>
      </c>
      <c r="G288" s="263">
        <v>10</v>
      </c>
      <c r="H288" s="183">
        <f>H285</f>
        <v>46317</v>
      </c>
      <c r="I288" s="184">
        <f>I285</f>
        <v>1</v>
      </c>
      <c r="J288" s="925"/>
      <c r="K288" s="972"/>
      <c r="L288" s="975"/>
      <c r="M288" s="944"/>
      <c r="N288" s="958"/>
      <c r="O288" s="954"/>
      <c r="P288" s="954"/>
      <c r="Q288" s="954"/>
      <c r="R288" s="872"/>
      <c r="S288" s="995"/>
      <c r="T288" s="954"/>
      <c r="U288" s="954"/>
      <c r="V288" s="954"/>
      <c r="W288" s="954"/>
      <c r="X288" s="872"/>
      <c r="Y288" s="1059"/>
      <c r="Z288" s="876"/>
      <c r="AA288" s="879"/>
      <c r="AB288" s="879"/>
      <c r="AC288" s="882"/>
      <c r="AD288" s="58"/>
      <c r="AE288" s="60"/>
      <c r="AF288" s="60">
        <v>44764</v>
      </c>
      <c r="AG288" s="38"/>
      <c r="AH288" s="928"/>
      <c r="AI288" s="915"/>
      <c r="AJ288" s="918"/>
      <c r="AK288" s="915"/>
      <c r="AL288" s="933"/>
      <c r="AM288" s="58"/>
    </row>
    <row r="289" spans="1:41" s="10" customFormat="1" ht="17.100000000000001" customHeight="1" x14ac:dyDescent="0.3">
      <c r="A289" s="921"/>
      <c r="B289" s="889"/>
      <c r="C289" s="889"/>
      <c r="D289" s="889">
        <v>4</v>
      </c>
      <c r="E289" s="35" t="s">
        <v>182</v>
      </c>
      <c r="F289" s="213" t="s">
        <v>50</v>
      </c>
      <c r="G289" s="255">
        <v>10</v>
      </c>
      <c r="H289" s="259"/>
      <c r="I289" s="36">
        <v>1</v>
      </c>
      <c r="J289" s="925"/>
      <c r="K289" s="972"/>
      <c r="L289" s="975"/>
      <c r="M289" s="944"/>
      <c r="N289" s="921">
        <v>44371</v>
      </c>
      <c r="O289" s="921">
        <v>45831</v>
      </c>
      <c r="P289" s="921">
        <v>46196</v>
      </c>
      <c r="Q289" s="873" t="s">
        <v>482</v>
      </c>
      <c r="R289" s="1043"/>
      <c r="S289" s="1208"/>
      <c r="T289" s="921">
        <v>44368</v>
      </c>
      <c r="U289" s="921">
        <v>45828</v>
      </c>
      <c r="V289" s="921">
        <v>46193</v>
      </c>
      <c r="W289" s="921" t="s">
        <v>286</v>
      </c>
      <c r="X289" s="1129"/>
      <c r="Y289" s="1059"/>
      <c r="Z289" s="1034">
        <v>46076</v>
      </c>
      <c r="AA289" s="879"/>
      <c r="AB289" s="879"/>
      <c r="AC289" s="882"/>
      <c r="AD289" s="64"/>
      <c r="AE289" s="56"/>
      <c r="AF289" s="56"/>
      <c r="AG289" s="9" t="s">
        <v>136</v>
      </c>
      <c r="AH289" s="928" t="s">
        <v>160</v>
      </c>
      <c r="AI289" s="915" t="s">
        <v>166</v>
      </c>
      <c r="AJ289" s="916" t="s">
        <v>160</v>
      </c>
      <c r="AK289" s="915" t="s">
        <v>171</v>
      </c>
      <c r="AL289" s="933"/>
      <c r="AM289" s="64"/>
    </row>
    <row r="290" spans="1:41" s="10" customFormat="1" ht="17.100000000000001" customHeight="1" x14ac:dyDescent="0.3">
      <c r="A290" s="921"/>
      <c r="B290" s="889"/>
      <c r="C290" s="889"/>
      <c r="D290" s="889"/>
      <c r="E290" s="11" t="s">
        <v>106</v>
      </c>
      <c r="F290" s="243" t="s">
        <v>264</v>
      </c>
      <c r="G290" s="256">
        <v>10</v>
      </c>
      <c r="H290" s="260">
        <v>46371</v>
      </c>
      <c r="I290" s="13">
        <v>1</v>
      </c>
      <c r="J290" s="925"/>
      <c r="K290" s="972"/>
      <c r="L290" s="975"/>
      <c r="M290" s="944"/>
      <c r="N290" s="921"/>
      <c r="O290" s="921"/>
      <c r="P290" s="921"/>
      <c r="Q290" s="921"/>
      <c r="R290" s="872"/>
      <c r="S290" s="995"/>
      <c r="T290" s="921"/>
      <c r="U290" s="921"/>
      <c r="V290" s="921"/>
      <c r="W290" s="921"/>
      <c r="X290" s="921"/>
      <c r="Y290" s="1059"/>
      <c r="Z290" s="876"/>
      <c r="AA290" s="879"/>
      <c r="AB290" s="879"/>
      <c r="AC290" s="882"/>
      <c r="AD290" s="64"/>
      <c r="AE290" s="64"/>
      <c r="AF290" s="62">
        <v>44764</v>
      </c>
      <c r="AG290" s="9"/>
      <c r="AH290" s="928"/>
      <c r="AI290" s="915"/>
      <c r="AJ290" s="917"/>
      <c r="AK290" s="915"/>
      <c r="AL290" s="933"/>
      <c r="AM290" s="64"/>
    </row>
    <row r="291" spans="1:41" s="10" customFormat="1" ht="17.100000000000001" customHeight="1" x14ac:dyDescent="0.3">
      <c r="A291" s="921"/>
      <c r="B291" s="889"/>
      <c r="C291" s="889"/>
      <c r="D291" s="951"/>
      <c r="E291" s="181" t="s">
        <v>100</v>
      </c>
      <c r="F291" s="253">
        <v>0.20300000000000001</v>
      </c>
      <c r="G291" s="263">
        <v>10</v>
      </c>
      <c r="H291" s="183">
        <v>46371</v>
      </c>
      <c r="I291" s="184">
        <v>1</v>
      </c>
      <c r="J291" s="925"/>
      <c r="K291" s="972"/>
      <c r="L291" s="975"/>
      <c r="M291" s="944"/>
      <c r="N291" s="954"/>
      <c r="O291" s="954"/>
      <c r="P291" s="954"/>
      <c r="Q291" s="954"/>
      <c r="R291" s="872"/>
      <c r="S291" s="995"/>
      <c r="T291" s="954"/>
      <c r="U291" s="954"/>
      <c r="V291" s="954"/>
      <c r="W291" s="954"/>
      <c r="X291" s="921"/>
      <c r="Y291" s="1059"/>
      <c r="Z291" s="876"/>
      <c r="AA291" s="879"/>
      <c r="AB291" s="879"/>
      <c r="AC291" s="882"/>
      <c r="AD291" s="64"/>
      <c r="AE291" s="64"/>
      <c r="AF291" s="62">
        <v>44764</v>
      </c>
      <c r="AG291" s="9"/>
      <c r="AH291" s="928"/>
      <c r="AI291" s="915"/>
      <c r="AJ291" s="917"/>
      <c r="AK291" s="915"/>
      <c r="AL291" s="933"/>
      <c r="AM291" s="64"/>
    </row>
    <row r="292" spans="1:41" ht="17.100000000000001" customHeight="1" x14ac:dyDescent="0.3">
      <c r="A292" s="921"/>
      <c r="B292" s="889"/>
      <c r="C292" s="889"/>
      <c r="D292" s="902">
        <v>5</v>
      </c>
      <c r="E292" s="91" t="s">
        <v>455</v>
      </c>
      <c r="F292" s="217" t="s">
        <v>50</v>
      </c>
      <c r="G292" s="255">
        <v>10</v>
      </c>
      <c r="H292" s="259"/>
      <c r="I292" s="36">
        <f>I289</f>
        <v>1</v>
      </c>
      <c r="J292" s="925"/>
      <c r="K292" s="972"/>
      <c r="L292" s="975"/>
      <c r="M292" s="944"/>
      <c r="N292" s="873">
        <v>44371</v>
      </c>
      <c r="O292" s="873">
        <v>45831</v>
      </c>
      <c r="P292" s="873">
        <v>46196</v>
      </c>
      <c r="Q292" s="921" t="s">
        <v>482</v>
      </c>
      <c r="R292" s="872"/>
      <c r="S292" s="995"/>
      <c r="T292" s="873">
        <v>44369</v>
      </c>
      <c r="U292" s="873">
        <v>45879</v>
      </c>
      <c r="V292" s="873">
        <v>46244</v>
      </c>
      <c r="W292" s="873"/>
      <c r="X292" s="921"/>
      <c r="Y292" s="1059"/>
      <c r="Z292" s="876"/>
      <c r="AA292" s="879"/>
      <c r="AB292" s="879"/>
      <c r="AC292" s="882"/>
      <c r="AD292" s="58"/>
      <c r="AE292" s="58"/>
      <c r="AF292" s="58"/>
      <c r="AG292" s="38"/>
      <c r="AH292" s="928"/>
      <c r="AI292" s="915"/>
      <c r="AJ292" s="917"/>
      <c r="AK292" s="915"/>
      <c r="AL292" s="933"/>
      <c r="AM292" s="58"/>
    </row>
    <row r="293" spans="1:41" ht="17.100000000000001" customHeight="1" x14ac:dyDescent="0.3">
      <c r="A293" s="921"/>
      <c r="B293" s="889"/>
      <c r="C293" s="889"/>
      <c r="D293" s="940"/>
      <c r="E293" s="68" t="s">
        <v>102</v>
      </c>
      <c r="F293" s="243" t="s">
        <v>243</v>
      </c>
      <c r="G293" s="256">
        <v>10</v>
      </c>
      <c r="H293" s="260">
        <f>H290</f>
        <v>46371</v>
      </c>
      <c r="I293" s="34">
        <f>I290</f>
        <v>1</v>
      </c>
      <c r="J293" s="925"/>
      <c r="K293" s="972"/>
      <c r="L293" s="975"/>
      <c r="M293" s="944"/>
      <c r="N293" s="921"/>
      <c r="O293" s="921"/>
      <c r="P293" s="921"/>
      <c r="Q293" s="921"/>
      <c r="R293" s="872"/>
      <c r="S293" s="995"/>
      <c r="T293" s="921"/>
      <c r="U293" s="921"/>
      <c r="V293" s="921"/>
      <c r="W293" s="921"/>
      <c r="X293" s="921"/>
      <c r="Y293" s="1059"/>
      <c r="Z293" s="876"/>
      <c r="AA293" s="879"/>
      <c r="AB293" s="879"/>
      <c r="AC293" s="882"/>
      <c r="AD293" s="62"/>
      <c r="AE293" s="62"/>
      <c r="AF293" s="62">
        <v>44764</v>
      </c>
      <c r="AG293" s="38"/>
      <c r="AH293" s="928"/>
      <c r="AI293" s="915"/>
      <c r="AJ293" s="917"/>
      <c r="AK293" s="915"/>
      <c r="AL293" s="933"/>
      <c r="AM293" s="62"/>
    </row>
    <row r="294" spans="1:41" ht="17.100000000000001" customHeight="1" x14ac:dyDescent="0.3">
      <c r="A294" s="946"/>
      <c r="B294" s="890"/>
      <c r="C294" s="890"/>
      <c r="D294" s="941">
        <v>5</v>
      </c>
      <c r="E294" s="15" t="s">
        <v>100</v>
      </c>
      <c r="F294" s="252">
        <v>0.2135</v>
      </c>
      <c r="G294" s="257">
        <v>10</v>
      </c>
      <c r="H294" s="262">
        <f>H291</f>
        <v>46371</v>
      </c>
      <c r="I294" s="17">
        <f>I291</f>
        <v>1</v>
      </c>
      <c r="J294" s="961"/>
      <c r="K294" s="973"/>
      <c r="L294" s="976"/>
      <c r="M294" s="945"/>
      <c r="N294" s="946"/>
      <c r="O294" s="946"/>
      <c r="P294" s="946"/>
      <c r="Q294" s="946"/>
      <c r="R294" s="874"/>
      <c r="S294" s="996"/>
      <c r="T294" s="946"/>
      <c r="U294" s="946"/>
      <c r="V294" s="946"/>
      <c r="W294" s="946"/>
      <c r="X294" s="946"/>
      <c r="Y294" s="1060"/>
      <c r="Z294" s="877"/>
      <c r="AA294" s="880"/>
      <c r="AB294" s="880"/>
      <c r="AC294" s="883"/>
      <c r="AD294" s="60"/>
      <c r="AE294" s="60"/>
      <c r="AF294" s="60">
        <v>44764</v>
      </c>
      <c r="AG294" s="38"/>
      <c r="AH294" s="928"/>
      <c r="AI294" s="915"/>
      <c r="AJ294" s="918"/>
      <c r="AK294" s="915"/>
      <c r="AL294" s="933"/>
      <c r="AM294" s="60"/>
    </row>
    <row r="295" spans="1:41" s="10" customFormat="1" ht="17.100000000000001" customHeight="1" x14ac:dyDescent="0.3">
      <c r="A295" s="888">
        <v>46446</v>
      </c>
      <c r="B295" s="926" t="s">
        <v>988</v>
      </c>
      <c r="C295" s="891" t="s">
        <v>125</v>
      </c>
      <c r="D295" s="891">
        <v>1</v>
      </c>
      <c r="E295" s="19" t="s">
        <v>455</v>
      </c>
      <c r="F295" s="389" t="s">
        <v>50</v>
      </c>
      <c r="G295" s="70">
        <v>10</v>
      </c>
      <c r="H295" s="117">
        <v>45198</v>
      </c>
      <c r="I295" s="7">
        <v>0.91</v>
      </c>
      <c r="J295" s="987" t="s">
        <v>600</v>
      </c>
      <c r="K295" s="485"/>
      <c r="L295" s="486"/>
      <c r="M295" s="943" t="s">
        <v>416</v>
      </c>
      <c r="N295" s="888">
        <v>44399</v>
      </c>
      <c r="O295" s="888">
        <v>45859</v>
      </c>
      <c r="P295" s="888">
        <v>46224</v>
      </c>
      <c r="Q295" s="888" t="s">
        <v>482</v>
      </c>
      <c r="R295" s="959"/>
      <c r="S295" s="987"/>
      <c r="T295" s="888">
        <v>44468</v>
      </c>
      <c r="U295" s="888">
        <v>45928</v>
      </c>
      <c r="V295" s="888">
        <v>46293</v>
      </c>
      <c r="W295" s="888" t="s">
        <v>509</v>
      </c>
      <c r="X295" s="888"/>
      <c r="Y295" s="959" t="s">
        <v>835</v>
      </c>
      <c r="Z295" s="897">
        <v>46079</v>
      </c>
      <c r="AA295" s="878" t="s">
        <v>428</v>
      </c>
      <c r="AB295" s="878"/>
      <c r="AC295" s="881">
        <v>1150000</v>
      </c>
      <c r="AD295" s="56"/>
      <c r="AE295" s="56"/>
      <c r="AF295" s="56"/>
      <c r="AG295" s="9" t="s">
        <v>136</v>
      </c>
      <c r="AH295" s="928" t="s">
        <v>160</v>
      </c>
      <c r="AI295" s="915" t="s">
        <v>166</v>
      </c>
      <c r="AJ295" s="916" t="s">
        <v>160</v>
      </c>
      <c r="AK295" s="915"/>
      <c r="AL295" s="933"/>
      <c r="AM295" s="56"/>
    </row>
    <row r="296" spans="1:41" s="10" customFormat="1" ht="17.100000000000001" customHeight="1" x14ac:dyDescent="0.3">
      <c r="A296" s="921"/>
      <c r="B296" s="927"/>
      <c r="C296" s="889"/>
      <c r="D296" s="889"/>
      <c r="E296" s="11" t="s">
        <v>106</v>
      </c>
      <c r="F296" s="243" t="s">
        <v>245</v>
      </c>
      <c r="G296" s="71">
        <v>10</v>
      </c>
      <c r="H296" s="118">
        <v>46101</v>
      </c>
      <c r="I296" s="13">
        <v>0.8</v>
      </c>
      <c r="J296" s="925"/>
      <c r="K296" s="821" t="s">
        <v>1010</v>
      </c>
      <c r="L296" s="622">
        <v>46098</v>
      </c>
      <c r="M296" s="944"/>
      <c r="N296" s="921"/>
      <c r="O296" s="921"/>
      <c r="P296" s="921"/>
      <c r="Q296" s="921"/>
      <c r="R296" s="921"/>
      <c r="S296" s="925"/>
      <c r="T296" s="921"/>
      <c r="U296" s="921"/>
      <c r="V296" s="921"/>
      <c r="W296" s="921"/>
      <c r="X296" s="921"/>
      <c r="Y296" s="921"/>
      <c r="Z296" s="876"/>
      <c r="AA296" s="879"/>
      <c r="AB296" s="879"/>
      <c r="AC296" s="882"/>
      <c r="AD296" s="64"/>
      <c r="AE296" s="64"/>
      <c r="AF296" s="64">
        <v>44715</v>
      </c>
      <c r="AG296" s="9"/>
      <c r="AH296" s="928"/>
      <c r="AI296" s="915"/>
      <c r="AJ296" s="917"/>
      <c r="AK296" s="915"/>
      <c r="AL296" s="933"/>
      <c r="AM296" s="64"/>
    </row>
    <row r="297" spans="1:41" ht="17.100000000000001" customHeight="1" x14ac:dyDescent="0.3">
      <c r="A297" s="946"/>
      <c r="B297" s="941"/>
      <c r="C297" s="890"/>
      <c r="D297" s="890"/>
      <c r="E297" s="11" t="s">
        <v>100</v>
      </c>
      <c r="F297" s="251">
        <v>0.21</v>
      </c>
      <c r="G297" s="71">
        <v>10</v>
      </c>
      <c r="H297" s="118">
        <v>46101</v>
      </c>
      <c r="I297" s="17">
        <v>0.88</v>
      </c>
      <c r="J297" s="961"/>
      <c r="K297" s="717" t="s">
        <v>1011</v>
      </c>
      <c r="L297" s="718">
        <v>46098</v>
      </c>
      <c r="M297" s="945"/>
      <c r="N297" s="946"/>
      <c r="O297" s="946"/>
      <c r="P297" s="946"/>
      <c r="Q297" s="946"/>
      <c r="R297" s="946"/>
      <c r="S297" s="961"/>
      <c r="T297" s="946"/>
      <c r="U297" s="946"/>
      <c r="V297" s="946"/>
      <c r="W297" s="946"/>
      <c r="X297" s="946"/>
      <c r="Y297" s="946"/>
      <c r="Z297" s="877"/>
      <c r="AA297" s="880"/>
      <c r="AB297" s="880"/>
      <c r="AC297" s="883"/>
      <c r="AD297" s="60"/>
      <c r="AE297" s="60"/>
      <c r="AF297" s="60">
        <v>44715</v>
      </c>
      <c r="AG297" s="38"/>
      <c r="AH297" s="928"/>
      <c r="AI297" s="915"/>
      <c r="AJ297" s="918"/>
      <c r="AK297" s="915"/>
      <c r="AL297" s="933"/>
      <c r="AM297" s="60"/>
    </row>
    <row r="298" spans="1:41" s="10" customFormat="1" ht="17.100000000000001" customHeight="1" x14ac:dyDescent="0.3">
      <c r="A298" s="888">
        <v>46356</v>
      </c>
      <c r="B298" s="913" t="s">
        <v>989</v>
      </c>
      <c r="C298" s="891" t="s">
        <v>530</v>
      </c>
      <c r="D298" s="922" t="s">
        <v>892</v>
      </c>
      <c r="E298" s="19" t="s">
        <v>2</v>
      </c>
      <c r="F298" s="389" t="s">
        <v>531</v>
      </c>
      <c r="G298" s="425">
        <v>10</v>
      </c>
      <c r="H298" s="553">
        <v>46395</v>
      </c>
      <c r="I298" s="7">
        <v>1</v>
      </c>
      <c r="J298" s="924" t="s">
        <v>347</v>
      </c>
      <c r="K298" s="345"/>
      <c r="L298" s="823"/>
      <c r="M298" s="943" t="s">
        <v>408</v>
      </c>
      <c r="N298" s="871">
        <v>44405</v>
      </c>
      <c r="O298" s="871">
        <v>45865</v>
      </c>
      <c r="P298" s="871">
        <v>46230</v>
      </c>
      <c r="Q298" s="871" t="s">
        <v>286</v>
      </c>
      <c r="R298" s="959"/>
      <c r="S298" s="987"/>
      <c r="T298" s="871">
        <v>44435</v>
      </c>
      <c r="U298" s="871">
        <v>45717</v>
      </c>
      <c r="V298" s="871">
        <v>46082</v>
      </c>
      <c r="W298" s="871" t="s">
        <v>751</v>
      </c>
      <c r="X298" s="1183" t="s">
        <v>898</v>
      </c>
      <c r="Y298" s="959" t="s">
        <v>783</v>
      </c>
      <c r="Z298" s="897">
        <v>46084</v>
      </c>
      <c r="AA298" s="878" t="s">
        <v>560</v>
      </c>
      <c r="AB298" s="878" t="s">
        <v>357</v>
      </c>
      <c r="AC298" s="881">
        <v>2200000</v>
      </c>
      <c r="AD298" s="56"/>
      <c r="AE298" s="56"/>
      <c r="AF298" s="56">
        <v>44694</v>
      </c>
      <c r="AG298" s="9" t="s">
        <v>136</v>
      </c>
      <c r="AH298" s="928" t="s">
        <v>160</v>
      </c>
      <c r="AI298" s="915" t="s">
        <v>166</v>
      </c>
      <c r="AJ298" s="916" t="s">
        <v>160</v>
      </c>
      <c r="AK298" s="915"/>
      <c r="AL298" s="933"/>
      <c r="AM298" s="56"/>
    </row>
    <row r="299" spans="1:41" s="10" customFormat="1" ht="17.100000000000001" customHeight="1" x14ac:dyDescent="0.3">
      <c r="A299" s="921"/>
      <c r="B299" s="955"/>
      <c r="C299" s="889"/>
      <c r="D299" s="923">
        <v>1</v>
      </c>
      <c r="E299" s="181" t="s">
        <v>718</v>
      </c>
      <c r="F299" s="245" t="s">
        <v>335</v>
      </c>
      <c r="G299" s="427">
        <v>10</v>
      </c>
      <c r="H299" s="183">
        <v>46395</v>
      </c>
      <c r="I299" s="184">
        <v>1</v>
      </c>
      <c r="J299" s="962"/>
      <c r="K299" s="826"/>
      <c r="L299" s="827"/>
      <c r="M299" s="944"/>
      <c r="N299" s="872"/>
      <c r="O299" s="872"/>
      <c r="P299" s="872"/>
      <c r="Q299" s="872"/>
      <c r="R299" s="954"/>
      <c r="S299" s="994"/>
      <c r="T299" s="872"/>
      <c r="U299" s="872"/>
      <c r="V299" s="872"/>
      <c r="W299" s="872"/>
      <c r="X299" s="872"/>
      <c r="Y299" s="1059"/>
      <c r="Z299" s="876"/>
      <c r="AA299" s="879"/>
      <c r="AB299" s="879"/>
      <c r="AC299" s="882"/>
      <c r="AD299" s="58"/>
      <c r="AE299" s="64"/>
      <c r="AF299" s="64">
        <v>44698</v>
      </c>
      <c r="AG299" s="9"/>
      <c r="AH299" s="928"/>
      <c r="AI299" s="915"/>
      <c r="AJ299" s="917"/>
      <c r="AK299" s="915"/>
      <c r="AL299" s="933"/>
      <c r="AM299" s="64"/>
    </row>
    <row r="300" spans="1:41" ht="17.100000000000001" customHeight="1" x14ac:dyDescent="0.3">
      <c r="A300" s="921"/>
      <c r="B300" s="955"/>
      <c r="C300" s="889"/>
      <c r="D300" s="981" t="s">
        <v>781</v>
      </c>
      <c r="E300" s="91" t="s">
        <v>2</v>
      </c>
      <c r="F300" s="391" t="s">
        <v>50</v>
      </c>
      <c r="G300" s="454">
        <v>10</v>
      </c>
      <c r="H300" s="554">
        <v>46430</v>
      </c>
      <c r="I300" s="36">
        <v>0.9</v>
      </c>
      <c r="J300" s="962"/>
      <c r="K300" s="777" t="s">
        <v>921</v>
      </c>
      <c r="L300" s="780">
        <v>46087</v>
      </c>
      <c r="M300" s="944"/>
      <c r="N300" s="872">
        <v>45219</v>
      </c>
      <c r="O300" s="872">
        <v>45949</v>
      </c>
      <c r="P300" s="872">
        <v>46679</v>
      </c>
      <c r="Q300" s="872"/>
      <c r="R300" s="873"/>
      <c r="S300" s="1209"/>
      <c r="T300" s="872">
        <v>45099</v>
      </c>
      <c r="U300" s="872">
        <v>45829</v>
      </c>
      <c r="V300" s="872">
        <v>46559</v>
      </c>
      <c r="W300" s="872" t="s">
        <v>295</v>
      </c>
      <c r="X300" s="872"/>
      <c r="Y300" s="1059"/>
      <c r="Z300" s="876"/>
      <c r="AA300" s="879"/>
      <c r="AB300" s="879"/>
      <c r="AC300" s="882"/>
      <c r="AD300" s="58"/>
      <c r="AE300" s="58"/>
      <c r="AF300" s="58"/>
      <c r="AG300" s="38"/>
      <c r="AH300" s="928"/>
      <c r="AI300" s="915"/>
      <c r="AJ300" s="917"/>
      <c r="AK300" s="915"/>
      <c r="AL300" s="933"/>
      <c r="AM300" s="64"/>
    </row>
    <row r="301" spans="1:41" ht="17.100000000000001" customHeight="1" x14ac:dyDescent="0.3">
      <c r="A301" s="921"/>
      <c r="B301" s="955"/>
      <c r="C301" s="889"/>
      <c r="D301" s="923"/>
      <c r="E301" s="181" t="s">
        <v>109</v>
      </c>
      <c r="F301" s="245" t="s">
        <v>246</v>
      </c>
      <c r="G301" s="452">
        <v>10</v>
      </c>
      <c r="H301" s="183">
        <v>46444</v>
      </c>
      <c r="I301" s="184">
        <v>0.86</v>
      </c>
      <c r="J301" s="962"/>
      <c r="K301" s="752" t="s">
        <v>920</v>
      </c>
      <c r="L301" s="781">
        <v>46087</v>
      </c>
      <c r="M301" s="944"/>
      <c r="N301" s="872"/>
      <c r="O301" s="872"/>
      <c r="P301" s="872"/>
      <c r="Q301" s="872"/>
      <c r="R301" s="954"/>
      <c r="S301" s="994"/>
      <c r="T301" s="872"/>
      <c r="U301" s="872"/>
      <c r="V301" s="872"/>
      <c r="W301" s="872"/>
      <c r="X301" s="872"/>
      <c r="Y301" s="1059"/>
      <c r="Z301" s="1018"/>
      <c r="AA301" s="879"/>
      <c r="AB301" s="879"/>
      <c r="AC301" s="882"/>
      <c r="AD301" s="60"/>
      <c r="AE301" s="60"/>
      <c r="AF301" s="60">
        <v>44698</v>
      </c>
      <c r="AG301" s="38"/>
      <c r="AH301" s="928"/>
      <c r="AI301" s="915"/>
      <c r="AJ301" s="917"/>
      <c r="AK301" s="915"/>
      <c r="AL301" s="933"/>
      <c r="AM301" s="60"/>
    </row>
    <row r="302" spans="1:41" ht="17.100000000000001" customHeight="1" x14ac:dyDescent="0.3">
      <c r="A302" s="921"/>
      <c r="B302" s="955"/>
      <c r="C302" s="889"/>
      <c r="D302" s="981" t="s">
        <v>782</v>
      </c>
      <c r="E302" s="91" t="s">
        <v>776</v>
      </c>
      <c r="F302" s="391" t="s">
        <v>50</v>
      </c>
      <c r="G302" s="454">
        <v>10</v>
      </c>
      <c r="H302" s="453">
        <v>46395</v>
      </c>
      <c r="I302" s="36">
        <v>1</v>
      </c>
      <c r="J302" s="962"/>
      <c r="K302" s="341"/>
      <c r="L302" s="822"/>
      <c r="M302" s="944"/>
      <c r="N302" s="872">
        <v>44405</v>
      </c>
      <c r="O302" s="872">
        <v>45865</v>
      </c>
      <c r="P302" s="872">
        <v>46230</v>
      </c>
      <c r="Q302" s="872" t="s">
        <v>286</v>
      </c>
      <c r="R302" s="1129"/>
      <c r="S302" s="1198"/>
      <c r="T302" s="872">
        <v>44449</v>
      </c>
      <c r="U302" s="872">
        <v>45717</v>
      </c>
      <c r="V302" s="872">
        <v>46082</v>
      </c>
      <c r="W302" s="872" t="s">
        <v>291</v>
      </c>
      <c r="X302" s="1043" t="s">
        <v>899</v>
      </c>
      <c r="Y302" s="1059"/>
      <c r="Z302" s="876">
        <v>46063</v>
      </c>
      <c r="AA302" s="879"/>
      <c r="AB302" s="879"/>
      <c r="AC302" s="882"/>
      <c r="AD302" s="58"/>
      <c r="AE302" s="58"/>
      <c r="AF302" s="58"/>
      <c r="AG302" s="38"/>
      <c r="AH302" s="928"/>
      <c r="AI302" s="915"/>
      <c r="AJ302" s="917"/>
      <c r="AK302" s="915"/>
      <c r="AL302" s="933"/>
      <c r="AM302" s="64"/>
      <c r="AO302" s="39">
        <v>8</v>
      </c>
    </row>
    <row r="303" spans="1:41" ht="17.100000000000001" customHeight="1" x14ac:dyDescent="0.3">
      <c r="A303" s="921"/>
      <c r="B303" s="955"/>
      <c r="C303" s="889"/>
      <c r="D303" s="923">
        <v>5</v>
      </c>
      <c r="E303" s="181" t="s">
        <v>532</v>
      </c>
      <c r="F303" s="245" t="s">
        <v>335</v>
      </c>
      <c r="G303" s="452">
        <v>10</v>
      </c>
      <c r="H303" s="857">
        <v>46395</v>
      </c>
      <c r="I303" s="858">
        <v>1</v>
      </c>
      <c r="J303" s="962"/>
      <c r="K303" s="828"/>
      <c r="L303" s="829"/>
      <c r="M303" s="944"/>
      <c r="N303" s="872"/>
      <c r="O303" s="872"/>
      <c r="P303" s="872"/>
      <c r="Q303" s="872"/>
      <c r="R303" s="1042"/>
      <c r="S303" s="1204"/>
      <c r="T303" s="872"/>
      <c r="U303" s="872"/>
      <c r="V303" s="872"/>
      <c r="W303" s="872"/>
      <c r="X303" s="872"/>
      <c r="Y303" s="1059"/>
      <c r="Z303" s="876"/>
      <c r="AA303" s="879"/>
      <c r="AB303" s="879"/>
      <c r="AC303" s="882"/>
      <c r="AD303" s="58"/>
      <c r="AE303" s="60"/>
      <c r="AF303" s="60">
        <v>44698</v>
      </c>
      <c r="AG303" s="38"/>
      <c r="AH303" s="928"/>
      <c r="AI303" s="915"/>
      <c r="AJ303" s="918"/>
      <c r="AK303" s="915"/>
      <c r="AL303" s="933"/>
      <c r="AM303" s="60"/>
    </row>
    <row r="304" spans="1:41" s="10" customFormat="1" ht="17.100000000000001" customHeight="1" x14ac:dyDescent="0.3">
      <c r="A304" s="921"/>
      <c r="B304" s="955"/>
      <c r="C304" s="889"/>
      <c r="D304" s="981" t="s">
        <v>893</v>
      </c>
      <c r="E304" s="35" t="s">
        <v>777</v>
      </c>
      <c r="F304" s="390" t="s">
        <v>531</v>
      </c>
      <c r="G304" s="426">
        <v>10</v>
      </c>
      <c r="H304" s="424">
        <v>46430</v>
      </c>
      <c r="I304" s="36">
        <v>0.8</v>
      </c>
      <c r="J304" s="962"/>
      <c r="K304" s="777" t="s">
        <v>920</v>
      </c>
      <c r="L304" s="780">
        <v>46087</v>
      </c>
      <c r="M304" s="944"/>
      <c r="N304" s="872">
        <v>45219</v>
      </c>
      <c r="O304" s="872">
        <v>45949</v>
      </c>
      <c r="P304" s="872">
        <v>46679</v>
      </c>
      <c r="Q304" s="872"/>
      <c r="R304" s="1129"/>
      <c r="S304" s="1198"/>
      <c r="T304" s="872">
        <v>45099</v>
      </c>
      <c r="U304" s="872">
        <v>45829</v>
      </c>
      <c r="V304" s="872">
        <v>46559</v>
      </c>
      <c r="W304" s="872" t="s">
        <v>326</v>
      </c>
      <c r="X304" s="872"/>
      <c r="Y304" s="1059"/>
      <c r="Z304" s="876"/>
      <c r="AA304" s="879"/>
      <c r="AB304" s="879"/>
      <c r="AC304" s="882"/>
      <c r="AD304" s="58"/>
      <c r="AE304" s="56"/>
      <c r="AF304" s="56">
        <v>44694</v>
      </c>
      <c r="AG304" s="9"/>
      <c r="AH304" s="928" t="s">
        <v>160</v>
      </c>
      <c r="AI304" s="915" t="s">
        <v>166</v>
      </c>
      <c r="AJ304" s="916" t="s">
        <v>160</v>
      </c>
      <c r="AK304" s="915"/>
      <c r="AL304" s="933"/>
      <c r="AM304" s="56"/>
    </row>
    <row r="305" spans="1:39" s="10" customFormat="1" ht="16.5" customHeight="1" x14ac:dyDescent="0.3">
      <c r="A305" s="921"/>
      <c r="B305" s="955"/>
      <c r="C305" s="890"/>
      <c r="D305" s="923"/>
      <c r="E305" s="181" t="s">
        <v>533</v>
      </c>
      <c r="F305" s="245" t="s">
        <v>240</v>
      </c>
      <c r="G305" s="317">
        <v>10</v>
      </c>
      <c r="H305" s="183">
        <v>46444</v>
      </c>
      <c r="I305" s="184">
        <v>0.65</v>
      </c>
      <c r="J305" s="962"/>
      <c r="K305" s="777" t="s">
        <v>920</v>
      </c>
      <c r="L305" s="780">
        <v>46087</v>
      </c>
      <c r="M305" s="944"/>
      <c r="N305" s="874"/>
      <c r="O305" s="874"/>
      <c r="P305" s="874"/>
      <c r="Q305" s="874"/>
      <c r="R305" s="1060"/>
      <c r="S305" s="1199"/>
      <c r="T305" s="874"/>
      <c r="U305" s="874"/>
      <c r="V305" s="874"/>
      <c r="W305" s="874"/>
      <c r="X305" s="874"/>
      <c r="Y305" s="1060"/>
      <c r="Z305" s="877"/>
      <c r="AA305" s="879"/>
      <c r="AB305" s="879"/>
      <c r="AC305" s="882"/>
      <c r="AD305" s="58"/>
      <c r="AE305" s="64"/>
      <c r="AF305" s="64">
        <v>44698</v>
      </c>
      <c r="AG305" s="9"/>
      <c r="AH305" s="928"/>
      <c r="AI305" s="915"/>
      <c r="AJ305" s="917"/>
      <c r="AK305" s="915"/>
      <c r="AL305" s="933"/>
      <c r="AM305" s="64"/>
    </row>
    <row r="306" spans="1:39" s="10" customFormat="1" ht="17.100000000000001" customHeight="1" x14ac:dyDescent="0.3">
      <c r="A306" s="888">
        <v>46112</v>
      </c>
      <c r="B306" s="926" t="s">
        <v>1002</v>
      </c>
      <c r="C306" s="891" t="s">
        <v>125</v>
      </c>
      <c r="D306" s="891">
        <v>1</v>
      </c>
      <c r="E306" s="19" t="s">
        <v>115</v>
      </c>
      <c r="F306" s="224" t="s">
        <v>50</v>
      </c>
      <c r="G306" s="86">
        <v>10</v>
      </c>
      <c r="H306" s="27">
        <v>46240</v>
      </c>
      <c r="I306" s="7">
        <v>1</v>
      </c>
      <c r="J306" s="924" t="s">
        <v>347</v>
      </c>
      <c r="K306" s="345"/>
      <c r="L306" s="668"/>
      <c r="M306" s="943" t="s">
        <v>408</v>
      </c>
      <c r="N306" s="888">
        <v>44623</v>
      </c>
      <c r="O306" s="888">
        <v>45353</v>
      </c>
      <c r="P306" s="888">
        <v>46083</v>
      </c>
      <c r="Q306" s="888" t="s">
        <v>294</v>
      </c>
      <c r="R306" s="895" t="s">
        <v>1015</v>
      </c>
      <c r="S306" s="1205" t="s">
        <v>1016</v>
      </c>
      <c r="T306" s="888">
        <v>44558</v>
      </c>
      <c r="U306" s="888">
        <v>46018</v>
      </c>
      <c r="V306" s="1168">
        <v>46383</v>
      </c>
      <c r="W306" s="888" t="s">
        <v>581</v>
      </c>
      <c r="X306" s="959"/>
      <c r="Y306" s="959" t="s">
        <v>928</v>
      </c>
      <c r="Z306" s="1200">
        <v>45915</v>
      </c>
      <c r="AA306" s="930" t="s">
        <v>428</v>
      </c>
      <c r="AB306" s="930"/>
      <c r="AC306" s="881">
        <v>1050000</v>
      </c>
      <c r="AD306" s="56"/>
      <c r="AE306" s="56"/>
      <c r="AF306" s="56"/>
      <c r="AG306" s="9" t="s">
        <v>136</v>
      </c>
      <c r="AH306" s="928" t="s">
        <v>160</v>
      </c>
      <c r="AI306" s="915" t="s">
        <v>166</v>
      </c>
      <c r="AJ306" s="916" t="s">
        <v>161</v>
      </c>
      <c r="AK306" s="915" t="s">
        <v>171</v>
      </c>
      <c r="AL306" s="933"/>
      <c r="AM306" s="56"/>
    </row>
    <row r="307" spans="1:39" s="10" customFormat="1" ht="17.100000000000001" customHeight="1" x14ac:dyDescent="0.3">
      <c r="A307" s="921"/>
      <c r="B307" s="902"/>
      <c r="C307" s="902"/>
      <c r="D307" s="889"/>
      <c r="E307" s="35" t="s">
        <v>625</v>
      </c>
      <c r="F307" s="243" t="s">
        <v>247</v>
      </c>
      <c r="G307" s="489">
        <v>10</v>
      </c>
      <c r="H307" s="178">
        <v>46240</v>
      </c>
      <c r="I307" s="36">
        <v>0.92</v>
      </c>
      <c r="J307" s="962"/>
      <c r="K307" s="341"/>
      <c r="L307" s="667"/>
      <c r="M307" s="944"/>
      <c r="N307" s="954"/>
      <c r="O307" s="954"/>
      <c r="P307" s="954"/>
      <c r="Q307" s="954"/>
      <c r="R307" s="896"/>
      <c r="S307" s="1206"/>
      <c r="T307" s="921"/>
      <c r="U307" s="921"/>
      <c r="V307" s="1169"/>
      <c r="W307" s="921"/>
      <c r="X307" s="1059"/>
      <c r="Y307" s="1059"/>
      <c r="Z307" s="1201"/>
      <c r="AA307" s="931"/>
      <c r="AB307" s="931"/>
      <c r="AC307" s="882"/>
      <c r="AD307" s="64"/>
      <c r="AE307" s="64"/>
      <c r="AF307" s="64"/>
      <c r="AG307" s="9"/>
      <c r="AH307" s="928"/>
      <c r="AI307" s="915"/>
      <c r="AJ307" s="917"/>
      <c r="AK307" s="915"/>
      <c r="AL307" s="933"/>
      <c r="AM307" s="64"/>
    </row>
    <row r="308" spans="1:39" s="10" customFormat="1" ht="17.100000000000001" customHeight="1" x14ac:dyDescent="0.3">
      <c r="A308" s="921"/>
      <c r="B308" s="902"/>
      <c r="C308" s="940" t="s">
        <v>658</v>
      </c>
      <c r="D308" s="889"/>
      <c r="E308" s="11" t="s">
        <v>626</v>
      </c>
      <c r="F308" s="251">
        <v>0.02</v>
      </c>
      <c r="G308" s="488">
        <v>10</v>
      </c>
      <c r="H308" s="399">
        <v>46346</v>
      </c>
      <c r="I308" s="13">
        <v>1</v>
      </c>
      <c r="J308" s="962"/>
      <c r="K308" s="341"/>
      <c r="L308" s="745"/>
      <c r="M308" s="944"/>
      <c r="N308" s="873">
        <v>45435</v>
      </c>
      <c r="O308" s="873"/>
      <c r="P308" s="873">
        <v>46164</v>
      </c>
      <c r="Q308" s="873" t="s">
        <v>627</v>
      </c>
      <c r="R308" s="896"/>
      <c r="S308" s="1206"/>
      <c r="T308" s="921"/>
      <c r="U308" s="921"/>
      <c r="V308" s="1169"/>
      <c r="W308" s="921"/>
      <c r="X308" s="1059"/>
      <c r="Y308" s="1059"/>
      <c r="Z308" s="1201"/>
      <c r="AA308" s="931"/>
      <c r="AB308" s="931"/>
      <c r="AC308" s="882"/>
      <c r="AD308" s="64"/>
      <c r="AE308" s="64"/>
      <c r="AF308" s="64"/>
      <c r="AG308" s="9"/>
      <c r="AH308" s="928"/>
      <c r="AI308" s="915"/>
      <c r="AJ308" s="917"/>
      <c r="AK308" s="915"/>
      <c r="AL308" s="933"/>
      <c r="AM308" s="64"/>
    </row>
    <row r="309" spans="1:39" s="10" customFormat="1" ht="17.100000000000001" customHeight="1" x14ac:dyDescent="0.3">
      <c r="A309" s="921"/>
      <c r="B309" s="902"/>
      <c r="C309" s="889"/>
      <c r="D309" s="889"/>
      <c r="E309" s="11" t="s">
        <v>100</v>
      </c>
      <c r="F309" s="251">
        <v>0.21</v>
      </c>
      <c r="G309" s="488">
        <v>10</v>
      </c>
      <c r="H309" s="399">
        <v>46346</v>
      </c>
      <c r="I309" s="13">
        <v>0.98</v>
      </c>
      <c r="J309" s="962"/>
      <c r="K309" s="341"/>
      <c r="L309" s="745"/>
      <c r="M309" s="944"/>
      <c r="N309" s="954"/>
      <c r="O309" s="954"/>
      <c r="P309" s="954"/>
      <c r="Q309" s="954"/>
      <c r="R309" s="896"/>
      <c r="S309" s="1206"/>
      <c r="T309" s="921"/>
      <c r="U309" s="921"/>
      <c r="V309" s="1169"/>
      <c r="W309" s="921"/>
      <c r="X309" s="1059"/>
      <c r="Y309" s="1059"/>
      <c r="Z309" s="1201"/>
      <c r="AA309" s="931"/>
      <c r="AB309" s="931"/>
      <c r="AC309" s="882"/>
      <c r="AD309" s="64"/>
      <c r="AE309" s="64"/>
      <c r="AF309" s="64"/>
      <c r="AG309" s="9"/>
      <c r="AH309" s="928"/>
      <c r="AI309" s="915"/>
      <c r="AJ309" s="917"/>
      <c r="AK309" s="915"/>
      <c r="AL309" s="933"/>
      <c r="AM309" s="64"/>
    </row>
    <row r="310" spans="1:39" s="10" customFormat="1" ht="17.100000000000001" customHeight="1" x14ac:dyDescent="0.3">
      <c r="A310" s="921"/>
      <c r="B310" s="927" t="s">
        <v>95</v>
      </c>
      <c r="C310" s="890"/>
      <c r="D310" s="890"/>
      <c r="E310" s="11" t="s">
        <v>628</v>
      </c>
      <c r="F310" s="251"/>
      <c r="G310" s="87"/>
      <c r="H310" s="29"/>
      <c r="I310" s="13"/>
      <c r="J310" s="925"/>
      <c r="K310" s="341"/>
      <c r="L310" s="357"/>
      <c r="M310" s="945"/>
      <c r="N310" s="487">
        <v>45251</v>
      </c>
      <c r="O310" s="487">
        <v>45435</v>
      </c>
      <c r="P310" s="487">
        <v>46164</v>
      </c>
      <c r="Q310" s="487" t="s">
        <v>629</v>
      </c>
      <c r="R310" s="1115"/>
      <c r="S310" s="1207"/>
      <c r="T310" s="946"/>
      <c r="U310" s="946"/>
      <c r="V310" s="1203"/>
      <c r="W310" s="946"/>
      <c r="X310" s="1060"/>
      <c r="Y310" s="1060"/>
      <c r="Z310" s="1202"/>
      <c r="AA310" s="932"/>
      <c r="AB310" s="932"/>
      <c r="AC310" s="883"/>
      <c r="AD310" s="64"/>
      <c r="AE310" s="64"/>
      <c r="AF310" s="64"/>
      <c r="AG310" s="9"/>
      <c r="AH310" s="928"/>
      <c r="AI310" s="915"/>
      <c r="AJ310" s="918"/>
      <c r="AK310" s="915"/>
      <c r="AL310" s="933"/>
      <c r="AM310" s="64"/>
    </row>
    <row r="311" spans="1:39" s="10" customFormat="1" ht="17.100000000000001" customHeight="1" x14ac:dyDescent="0.3">
      <c r="A311" s="888">
        <v>46356</v>
      </c>
      <c r="B311" s="922" t="s">
        <v>1003</v>
      </c>
      <c r="C311" s="891" t="s">
        <v>125</v>
      </c>
      <c r="D311" s="926">
        <v>13</v>
      </c>
      <c r="E311" s="19" t="s">
        <v>2</v>
      </c>
      <c r="F311" s="224" t="s">
        <v>50</v>
      </c>
      <c r="G311" s="145">
        <v>10</v>
      </c>
      <c r="H311" s="148">
        <v>46409</v>
      </c>
      <c r="I311" s="7">
        <v>1</v>
      </c>
      <c r="J311" s="924" t="s">
        <v>347</v>
      </c>
      <c r="K311" s="345"/>
      <c r="L311" s="794"/>
      <c r="M311" s="943" t="s">
        <v>413</v>
      </c>
      <c r="N311" s="888">
        <v>44467</v>
      </c>
      <c r="O311" s="888">
        <v>45927</v>
      </c>
      <c r="P311" s="888">
        <v>46292</v>
      </c>
      <c r="Q311" s="888" t="s">
        <v>286</v>
      </c>
      <c r="R311" s="888"/>
      <c r="S311" s="987"/>
      <c r="T311" s="888">
        <v>44425</v>
      </c>
      <c r="U311" s="888">
        <v>45885</v>
      </c>
      <c r="V311" s="888">
        <v>46250</v>
      </c>
      <c r="W311" s="888" t="s">
        <v>488</v>
      </c>
      <c r="X311" s="888"/>
      <c r="Y311" s="888"/>
      <c r="Z311" s="897">
        <v>46084</v>
      </c>
      <c r="AA311" s="878" t="s">
        <v>428</v>
      </c>
      <c r="AB311" s="878"/>
      <c r="AC311" s="881">
        <v>1300000</v>
      </c>
      <c r="AD311" s="56"/>
      <c r="AE311" s="56"/>
      <c r="AF311" s="56"/>
      <c r="AG311" s="9" t="s">
        <v>137</v>
      </c>
      <c r="AH311" s="928" t="s">
        <v>160</v>
      </c>
      <c r="AI311" s="915" t="s">
        <v>166</v>
      </c>
      <c r="AJ311" s="916" t="s">
        <v>160</v>
      </c>
      <c r="AK311" s="915"/>
      <c r="AL311" s="933"/>
      <c r="AM311" s="56"/>
    </row>
    <row r="312" spans="1:39" s="10" customFormat="1" ht="17.100000000000001" customHeight="1" x14ac:dyDescent="0.3">
      <c r="A312" s="921"/>
      <c r="B312" s="927" t="s">
        <v>108</v>
      </c>
      <c r="C312" s="889"/>
      <c r="D312" s="923">
        <v>1</v>
      </c>
      <c r="E312" s="181" t="s">
        <v>103</v>
      </c>
      <c r="F312" s="245" t="s">
        <v>249</v>
      </c>
      <c r="G312" s="182">
        <v>10</v>
      </c>
      <c r="H312" s="183">
        <v>46409</v>
      </c>
      <c r="I312" s="184">
        <v>1</v>
      </c>
      <c r="J312" s="925"/>
      <c r="K312" s="341"/>
      <c r="L312" s="792"/>
      <c r="M312" s="944"/>
      <c r="N312" s="921"/>
      <c r="O312" s="921"/>
      <c r="P312" s="921"/>
      <c r="Q312" s="921"/>
      <c r="R312" s="921"/>
      <c r="S312" s="925"/>
      <c r="T312" s="921"/>
      <c r="U312" s="921"/>
      <c r="V312" s="921"/>
      <c r="W312" s="921"/>
      <c r="X312" s="921"/>
      <c r="Y312" s="921"/>
      <c r="Z312" s="876"/>
      <c r="AA312" s="879"/>
      <c r="AB312" s="879"/>
      <c r="AC312" s="882"/>
      <c r="AD312" s="64"/>
      <c r="AE312" s="64"/>
      <c r="AF312" s="64"/>
      <c r="AG312" s="9"/>
      <c r="AH312" s="928"/>
      <c r="AI312" s="915"/>
      <c r="AJ312" s="917"/>
      <c r="AK312" s="915"/>
      <c r="AL312" s="933"/>
      <c r="AM312" s="64"/>
    </row>
    <row r="313" spans="1:39" ht="17.100000000000001" customHeight="1" x14ac:dyDescent="0.3">
      <c r="A313" s="921"/>
      <c r="B313" s="927" t="s">
        <v>95</v>
      </c>
      <c r="C313" s="889"/>
      <c r="D313" s="902">
        <v>17</v>
      </c>
      <c r="E313" s="91" t="s">
        <v>49</v>
      </c>
      <c r="F313" s="217" t="s">
        <v>50</v>
      </c>
      <c r="G313" s="156">
        <v>10</v>
      </c>
      <c r="H313" s="152">
        <v>46409</v>
      </c>
      <c r="I313" s="36">
        <v>1</v>
      </c>
      <c r="J313" s="925"/>
      <c r="K313" s="343"/>
      <c r="L313" s="795"/>
      <c r="M313" s="944"/>
      <c r="N313" s="921"/>
      <c r="O313" s="921"/>
      <c r="P313" s="921"/>
      <c r="Q313" s="921"/>
      <c r="R313" s="921"/>
      <c r="S313" s="925"/>
      <c r="T313" s="921"/>
      <c r="U313" s="921"/>
      <c r="V313" s="921"/>
      <c r="W313" s="921"/>
      <c r="X313" s="921"/>
      <c r="Y313" s="921"/>
      <c r="Z313" s="876"/>
      <c r="AA313" s="879"/>
      <c r="AB313" s="879"/>
      <c r="AC313" s="882"/>
      <c r="AD313" s="58"/>
      <c r="AE313" s="64"/>
      <c r="AF313" s="64"/>
      <c r="AG313" s="38"/>
      <c r="AH313" s="928"/>
      <c r="AI313" s="915"/>
      <c r="AJ313" s="917"/>
      <c r="AK313" s="915"/>
      <c r="AL313" s="933"/>
      <c r="AM313" s="58"/>
    </row>
    <row r="314" spans="1:39" ht="17.100000000000001" customHeight="1" thickBot="1" x14ac:dyDescent="0.35">
      <c r="A314" s="946"/>
      <c r="B314" s="941" t="s">
        <v>108</v>
      </c>
      <c r="C314" s="890"/>
      <c r="D314" s="941">
        <v>5</v>
      </c>
      <c r="E314" s="15" t="s">
        <v>103</v>
      </c>
      <c r="F314" s="243" t="s">
        <v>248</v>
      </c>
      <c r="G314" s="72">
        <v>10</v>
      </c>
      <c r="H314" s="119">
        <v>46409</v>
      </c>
      <c r="I314" s="17">
        <v>1</v>
      </c>
      <c r="J314" s="961"/>
      <c r="K314" s="344"/>
      <c r="L314" s="796"/>
      <c r="M314" s="945"/>
      <c r="N314" s="946"/>
      <c r="O314" s="946"/>
      <c r="P314" s="946"/>
      <c r="Q314" s="946"/>
      <c r="R314" s="946"/>
      <c r="S314" s="961"/>
      <c r="T314" s="946"/>
      <c r="U314" s="946"/>
      <c r="V314" s="946"/>
      <c r="W314" s="946"/>
      <c r="X314" s="946"/>
      <c r="Y314" s="946"/>
      <c r="Z314" s="877"/>
      <c r="AA314" s="880"/>
      <c r="AB314" s="880"/>
      <c r="AC314" s="883"/>
      <c r="AD314" s="60"/>
      <c r="AE314" s="60"/>
      <c r="AF314" s="60"/>
      <c r="AG314" s="38"/>
      <c r="AH314" s="929"/>
      <c r="AI314" s="997"/>
      <c r="AJ314" s="1013"/>
      <c r="AK314" s="997"/>
      <c r="AL314" s="1012"/>
      <c r="AM314" s="60"/>
    </row>
    <row r="315" spans="1:39" s="10" customFormat="1" ht="17.100000000000001" customHeight="1" x14ac:dyDescent="0.3">
      <c r="A315" s="888">
        <v>46234</v>
      </c>
      <c r="B315" s="926" t="s">
        <v>1004</v>
      </c>
      <c r="C315" s="891" t="s">
        <v>8</v>
      </c>
      <c r="D315" s="926">
        <v>27</v>
      </c>
      <c r="E315" s="19" t="s">
        <v>115</v>
      </c>
      <c r="F315" s="224" t="s">
        <v>50</v>
      </c>
      <c r="G315" s="411">
        <v>10</v>
      </c>
      <c r="H315" s="135">
        <v>46402</v>
      </c>
      <c r="I315" s="7">
        <v>0.99</v>
      </c>
      <c r="J315" s="924" t="s">
        <v>347</v>
      </c>
      <c r="K315" s="341"/>
      <c r="L315" s="792"/>
      <c r="M315" s="968" t="s">
        <v>424</v>
      </c>
      <c r="N315" s="888">
        <v>44908</v>
      </c>
      <c r="O315" s="888">
        <v>45638</v>
      </c>
      <c r="P315" s="888">
        <v>46368</v>
      </c>
      <c r="Q315" s="888" t="s">
        <v>715</v>
      </c>
      <c r="R315" s="888"/>
      <c r="S315" s="987"/>
      <c r="T315" s="888">
        <v>44894</v>
      </c>
      <c r="U315" s="888">
        <v>45812</v>
      </c>
      <c r="V315" s="888">
        <v>46177</v>
      </c>
      <c r="W315" s="888" t="s">
        <v>327</v>
      </c>
      <c r="X315" s="888"/>
      <c r="Y315" s="888"/>
      <c r="Z315" s="354"/>
      <c r="AA315" s="878" t="s">
        <v>444</v>
      </c>
      <c r="AB315" s="878"/>
      <c r="AC315" s="881">
        <v>1100000</v>
      </c>
      <c r="AD315" s="56"/>
      <c r="AE315" s="56"/>
      <c r="AF315" s="56"/>
      <c r="AG315" s="9" t="s">
        <v>140</v>
      </c>
      <c r="AH315" s="928" t="s">
        <v>160</v>
      </c>
      <c r="AI315" s="915" t="s">
        <v>166</v>
      </c>
      <c r="AJ315" s="916" t="s">
        <v>160</v>
      </c>
      <c r="AK315" s="915"/>
      <c r="AL315" s="933"/>
      <c r="AM315" s="56"/>
    </row>
    <row r="316" spans="1:39" s="10" customFormat="1" ht="17.100000000000001" customHeight="1" x14ac:dyDescent="0.3">
      <c r="A316" s="921"/>
      <c r="B316" s="927" t="s">
        <v>95</v>
      </c>
      <c r="C316" s="889"/>
      <c r="D316" s="927">
        <v>1</v>
      </c>
      <c r="E316" s="11" t="s">
        <v>120</v>
      </c>
      <c r="F316" s="243" t="s">
        <v>250</v>
      </c>
      <c r="G316" s="136">
        <v>10</v>
      </c>
      <c r="H316" s="387">
        <v>46402</v>
      </c>
      <c r="I316" s="13">
        <v>0.99</v>
      </c>
      <c r="J316" s="925"/>
      <c r="K316" s="344"/>
      <c r="L316" s="778"/>
      <c r="M316" s="969"/>
      <c r="N316" s="921"/>
      <c r="O316" s="921"/>
      <c r="P316" s="921"/>
      <c r="Q316" s="946"/>
      <c r="R316" s="946"/>
      <c r="S316" s="961"/>
      <c r="T316" s="921"/>
      <c r="U316" s="921"/>
      <c r="V316" s="921"/>
      <c r="W316" s="921"/>
      <c r="X316" s="946"/>
      <c r="Y316" s="921"/>
      <c r="Z316" s="639">
        <v>46076</v>
      </c>
      <c r="AA316" s="880"/>
      <c r="AB316" s="880"/>
      <c r="AC316" s="883"/>
      <c r="AD316" s="64"/>
      <c r="AE316" s="64"/>
      <c r="AF316" s="64"/>
      <c r="AG316" s="9"/>
      <c r="AH316" s="928"/>
      <c r="AI316" s="915"/>
      <c r="AJ316" s="917"/>
      <c r="AK316" s="915"/>
      <c r="AL316" s="933"/>
      <c r="AM316" s="64"/>
    </row>
    <row r="317" spans="1:39" ht="17.100000000000001" customHeight="1" x14ac:dyDescent="0.3">
      <c r="A317" s="884">
        <v>46387</v>
      </c>
      <c r="B317" s="891" t="s">
        <v>877</v>
      </c>
      <c r="C317" s="891"/>
      <c r="D317" s="891">
        <v>25</v>
      </c>
      <c r="E317" s="5" t="s">
        <v>49</v>
      </c>
      <c r="F317" s="5" t="s">
        <v>49</v>
      </c>
      <c r="G317" s="160"/>
      <c r="H317" s="161">
        <v>46352</v>
      </c>
      <c r="I317" s="162">
        <v>1</v>
      </c>
      <c r="J317" s="952" t="s">
        <v>689</v>
      </c>
      <c r="K317" s="341"/>
      <c r="L317" s="728"/>
      <c r="M317" s="968" t="s">
        <v>425</v>
      </c>
      <c r="N317" s="888">
        <v>44782</v>
      </c>
      <c r="O317" s="888">
        <v>45512</v>
      </c>
      <c r="P317" s="888">
        <v>46242</v>
      </c>
      <c r="Q317" s="887" t="s">
        <v>286</v>
      </c>
      <c r="R317" s="887"/>
      <c r="S317" s="913"/>
      <c r="T317" s="884">
        <v>44644</v>
      </c>
      <c r="U317" s="884">
        <v>45374</v>
      </c>
      <c r="V317" s="884">
        <v>46104</v>
      </c>
      <c r="W317" s="884" t="s">
        <v>601</v>
      </c>
      <c r="X317" s="887"/>
      <c r="Y317" s="887"/>
      <c r="Z317" s="897">
        <v>46073</v>
      </c>
      <c r="AA317" s="878" t="s">
        <v>428</v>
      </c>
      <c r="AB317" s="878"/>
      <c r="AC317" s="881">
        <v>1200000</v>
      </c>
      <c r="AD317" s="1237" t="s">
        <v>1017</v>
      </c>
      <c r="AM317" s="64"/>
    </row>
    <row r="318" spans="1:39" ht="17.100000000000001" customHeight="1" x14ac:dyDescent="0.3">
      <c r="A318" s="904"/>
      <c r="B318" s="890"/>
      <c r="C318" s="890"/>
      <c r="D318" s="890"/>
      <c r="E318" s="15" t="s">
        <v>103</v>
      </c>
      <c r="F318" s="243" t="s">
        <v>251</v>
      </c>
      <c r="G318" s="141"/>
      <c r="H318" s="163">
        <v>46352</v>
      </c>
      <c r="I318" s="164">
        <v>0.95</v>
      </c>
      <c r="J318" s="953"/>
      <c r="K318" s="729"/>
      <c r="L318" s="727"/>
      <c r="M318" s="969"/>
      <c r="N318" s="890"/>
      <c r="O318" s="946"/>
      <c r="P318" s="890"/>
      <c r="Q318" s="886"/>
      <c r="R318" s="886"/>
      <c r="S318" s="890"/>
      <c r="T318" s="886"/>
      <c r="U318" s="904"/>
      <c r="V318" s="886"/>
      <c r="W318" s="886"/>
      <c r="X318" s="886"/>
      <c r="Y318" s="886"/>
      <c r="Z318" s="877"/>
      <c r="AA318" s="880"/>
      <c r="AB318" s="880"/>
      <c r="AC318" s="883"/>
      <c r="AD318" s="1238"/>
      <c r="AM318" s="131"/>
    </row>
    <row r="319" spans="1:39" ht="17.100000000000001" customHeight="1" x14ac:dyDescent="0.3">
      <c r="A319" s="903">
        <v>46387</v>
      </c>
      <c r="B319" s="891" t="s">
        <v>990</v>
      </c>
      <c r="C319" s="891"/>
      <c r="D319" s="891">
        <v>7</v>
      </c>
      <c r="E319" s="5" t="s">
        <v>49</v>
      </c>
      <c r="F319" s="215" t="s">
        <v>50</v>
      </c>
      <c r="G319" s="160"/>
      <c r="H319" s="161"/>
      <c r="I319" s="162">
        <v>0.26</v>
      </c>
      <c r="J319" s="952" t="s">
        <v>411</v>
      </c>
      <c r="K319" s="345"/>
      <c r="L319" s="354"/>
      <c r="M319" s="968" t="s">
        <v>412</v>
      </c>
      <c r="N319" s="888">
        <v>44908</v>
      </c>
      <c r="O319" s="888">
        <v>45674</v>
      </c>
      <c r="P319" s="888">
        <v>46403</v>
      </c>
      <c r="Q319" s="887" t="s">
        <v>716</v>
      </c>
      <c r="R319" s="891"/>
      <c r="S319" s="913"/>
      <c r="T319" s="884">
        <v>44834</v>
      </c>
      <c r="U319" s="884">
        <v>45564</v>
      </c>
      <c r="V319" s="884">
        <v>46294</v>
      </c>
      <c r="W319" s="887" t="s">
        <v>656</v>
      </c>
      <c r="X319" s="891"/>
      <c r="Y319" s="891"/>
      <c r="Z319" s="897">
        <v>46056</v>
      </c>
      <c r="AA319" s="878" t="s">
        <v>428</v>
      </c>
      <c r="AB319" s="878"/>
      <c r="AC319" s="881">
        <v>1100000</v>
      </c>
      <c r="AD319" s="646" t="s">
        <v>852</v>
      </c>
      <c r="AM319" s="171"/>
    </row>
    <row r="320" spans="1:39" ht="17.100000000000001" customHeight="1" x14ac:dyDescent="0.3">
      <c r="A320" s="904"/>
      <c r="B320" s="890"/>
      <c r="C320" s="890"/>
      <c r="D320" s="890"/>
      <c r="E320" s="15" t="s">
        <v>304</v>
      </c>
      <c r="F320" s="243" t="s">
        <v>246</v>
      </c>
      <c r="G320" s="141"/>
      <c r="H320" s="163">
        <v>46206</v>
      </c>
      <c r="I320" s="164">
        <v>0.94</v>
      </c>
      <c r="J320" s="953"/>
      <c r="K320" s="631"/>
      <c r="L320" s="632"/>
      <c r="M320" s="969"/>
      <c r="N320" s="890"/>
      <c r="O320" s="890"/>
      <c r="P320" s="890"/>
      <c r="Q320" s="886"/>
      <c r="R320" s="890"/>
      <c r="S320" s="890"/>
      <c r="T320" s="886"/>
      <c r="U320" s="886"/>
      <c r="V320" s="886"/>
      <c r="W320" s="886"/>
      <c r="X320" s="890"/>
      <c r="Y320" s="890"/>
      <c r="Z320" s="877"/>
      <c r="AA320" s="880"/>
      <c r="AB320" s="880"/>
      <c r="AC320" s="883"/>
      <c r="AD320" s="320"/>
      <c r="AM320" s="324"/>
    </row>
    <row r="321" spans="1:39" ht="17.100000000000001" customHeight="1" x14ac:dyDescent="0.3">
      <c r="A321" s="888">
        <v>46418</v>
      </c>
      <c r="B321" s="963" t="s">
        <v>1005</v>
      </c>
      <c r="C321" s="891"/>
      <c r="D321" s="891">
        <v>12</v>
      </c>
      <c r="E321" s="19" t="s">
        <v>4</v>
      </c>
      <c r="F321" s="232" t="s">
        <v>303</v>
      </c>
      <c r="G321" s="160"/>
      <c r="H321" s="161">
        <v>46394</v>
      </c>
      <c r="I321" s="162">
        <v>0.93</v>
      </c>
      <c r="J321" s="952" t="s">
        <v>410</v>
      </c>
      <c r="K321" s="345"/>
      <c r="L321" s="750"/>
      <c r="M321" s="943" t="s">
        <v>408</v>
      </c>
      <c r="N321" s="888">
        <v>44222</v>
      </c>
      <c r="O321" s="884">
        <v>45997</v>
      </c>
      <c r="P321" s="884">
        <v>46362</v>
      </c>
      <c r="Q321" s="887" t="s">
        <v>858</v>
      </c>
      <c r="R321" s="891"/>
      <c r="S321" s="959"/>
      <c r="T321" s="884">
        <v>44165</v>
      </c>
      <c r="U321" s="884">
        <v>45990</v>
      </c>
      <c r="V321" s="888">
        <v>46355</v>
      </c>
      <c r="W321" s="891" t="s">
        <v>330</v>
      </c>
      <c r="X321" s="891"/>
      <c r="Y321" s="903"/>
      <c r="Z321" s="897">
        <v>46076</v>
      </c>
      <c r="AA321" s="878" t="s">
        <v>452</v>
      </c>
      <c r="AB321" s="878"/>
      <c r="AC321" s="881">
        <f>11400000/12</f>
        <v>950000</v>
      </c>
      <c r="AD321" s="646" t="s">
        <v>814</v>
      </c>
      <c r="AM321" s="171"/>
    </row>
    <row r="322" spans="1:39" ht="17.100000000000001" customHeight="1" x14ac:dyDescent="0.3">
      <c r="A322" s="921"/>
      <c r="B322" s="967"/>
      <c r="C322" s="889"/>
      <c r="D322" s="889"/>
      <c r="E322" s="11" t="s">
        <v>305</v>
      </c>
      <c r="F322" s="243" t="s">
        <v>197</v>
      </c>
      <c r="G322" s="45"/>
      <c r="H322" s="43">
        <v>46394</v>
      </c>
      <c r="I322" s="46">
        <v>0.92</v>
      </c>
      <c r="J322" s="966"/>
      <c r="K322" s="341"/>
      <c r="L322" s="749"/>
      <c r="M322" s="944"/>
      <c r="N322" s="889"/>
      <c r="O322" s="885"/>
      <c r="P322" s="885"/>
      <c r="Q322" s="885"/>
      <c r="R322" s="889"/>
      <c r="S322" s="921"/>
      <c r="T322" s="892"/>
      <c r="U322" s="885"/>
      <c r="V322" s="889"/>
      <c r="W322" s="889"/>
      <c r="X322" s="889"/>
      <c r="Y322" s="892"/>
      <c r="Z322" s="876"/>
      <c r="AA322" s="879"/>
      <c r="AB322" s="879"/>
      <c r="AC322" s="882"/>
      <c r="AD322" s="165"/>
      <c r="AM322" s="165"/>
    </row>
    <row r="323" spans="1:39" ht="17.100000000000001" customHeight="1" x14ac:dyDescent="0.3">
      <c r="A323" s="921"/>
      <c r="B323" s="967"/>
      <c r="C323" s="889"/>
      <c r="D323" s="889"/>
      <c r="E323" s="11" t="s">
        <v>3</v>
      </c>
      <c r="F323" s="250">
        <v>0.02</v>
      </c>
      <c r="G323" s="45"/>
      <c r="H323" s="43">
        <v>46373</v>
      </c>
      <c r="I323" s="46">
        <v>0.99</v>
      </c>
      <c r="J323" s="966"/>
      <c r="K323" s="341"/>
      <c r="L323" s="749"/>
      <c r="M323" s="944"/>
      <c r="N323" s="889"/>
      <c r="O323" s="885"/>
      <c r="P323" s="885"/>
      <c r="Q323" s="885"/>
      <c r="R323" s="889"/>
      <c r="S323" s="921"/>
      <c r="T323" s="892"/>
      <c r="U323" s="885"/>
      <c r="V323" s="889"/>
      <c r="W323" s="889"/>
      <c r="X323" s="889"/>
      <c r="Y323" s="892"/>
      <c r="Z323" s="876"/>
      <c r="AA323" s="879"/>
      <c r="AB323" s="879"/>
      <c r="AC323" s="882"/>
      <c r="AD323" s="165"/>
      <c r="AM323" s="165"/>
    </row>
    <row r="324" spans="1:39" ht="17.100000000000001" customHeight="1" x14ac:dyDescent="0.3">
      <c r="A324" s="946"/>
      <c r="B324" s="964"/>
      <c r="C324" s="890"/>
      <c r="D324" s="890"/>
      <c r="E324" s="24" t="s">
        <v>100</v>
      </c>
      <c r="F324" s="251">
        <v>0.2102</v>
      </c>
      <c r="G324" s="141"/>
      <c r="H324" s="163">
        <v>46280</v>
      </c>
      <c r="I324" s="164">
        <v>0.85</v>
      </c>
      <c r="J324" s="953"/>
      <c r="K324" s="748"/>
      <c r="L324" s="747"/>
      <c r="M324" s="945"/>
      <c r="N324" s="890"/>
      <c r="O324" s="886"/>
      <c r="P324" s="886"/>
      <c r="Q324" s="886"/>
      <c r="R324" s="890"/>
      <c r="S324" s="946"/>
      <c r="T324" s="904"/>
      <c r="U324" s="886"/>
      <c r="V324" s="890"/>
      <c r="W324" s="890"/>
      <c r="X324" s="890"/>
      <c r="Y324" s="904"/>
      <c r="Z324" s="877"/>
      <c r="AA324" s="880"/>
      <c r="AB324" s="880"/>
      <c r="AC324" s="883"/>
      <c r="AD324" s="320"/>
      <c r="AM324" s="324"/>
    </row>
    <row r="325" spans="1:39" ht="17.100000000000001" customHeight="1" x14ac:dyDescent="0.3">
      <c r="A325" s="884">
        <v>46146</v>
      </c>
      <c r="B325" s="891" t="s">
        <v>885</v>
      </c>
      <c r="C325" s="891"/>
      <c r="D325" s="891"/>
      <c r="E325" s="35" t="s">
        <v>559</v>
      </c>
      <c r="F325" s="436" t="s">
        <v>549</v>
      </c>
      <c r="G325" s="45"/>
      <c r="H325" s="431">
        <v>46191</v>
      </c>
      <c r="I325" s="46">
        <v>1</v>
      </c>
      <c r="J325" s="952" t="s">
        <v>556</v>
      </c>
      <c r="K325" s="341"/>
      <c r="L325" s="619"/>
      <c r="M325" s="943" t="s">
        <v>550</v>
      </c>
      <c r="N325" s="887"/>
      <c r="O325" s="887"/>
      <c r="P325" s="887"/>
      <c r="Q325" s="887"/>
      <c r="R325" s="887"/>
      <c r="S325" s="887"/>
      <c r="T325" s="887"/>
      <c r="U325" s="887"/>
      <c r="V325" s="887"/>
      <c r="W325" s="887"/>
      <c r="X325" s="887"/>
      <c r="Y325" s="887"/>
      <c r="Z325" s="897"/>
      <c r="AA325" s="862" t="s">
        <v>453</v>
      </c>
      <c r="AB325" s="878"/>
      <c r="AC325" s="881"/>
      <c r="AD325" s="430"/>
      <c r="AM325" s="430"/>
    </row>
    <row r="326" spans="1:39" ht="17.100000000000001" customHeight="1" x14ac:dyDescent="0.3">
      <c r="A326" s="892"/>
      <c r="B326" s="889"/>
      <c r="C326" s="889"/>
      <c r="D326" s="889"/>
      <c r="E326" s="11" t="s">
        <v>558</v>
      </c>
      <c r="F326" s="243" t="s">
        <v>557</v>
      </c>
      <c r="H326" s="47">
        <v>46161</v>
      </c>
      <c r="I326" s="50">
        <v>1</v>
      </c>
      <c r="J326" s="966"/>
      <c r="K326" s="343"/>
      <c r="L326" s="719"/>
      <c r="M326" s="944"/>
      <c r="N326" s="885"/>
      <c r="O326" s="885"/>
      <c r="P326" s="885"/>
      <c r="Q326" s="885"/>
      <c r="R326" s="885"/>
      <c r="S326" s="885"/>
      <c r="T326" s="885"/>
      <c r="U326" s="885"/>
      <c r="V326" s="885"/>
      <c r="W326" s="885"/>
      <c r="X326" s="885"/>
      <c r="Y326" s="885"/>
      <c r="Z326" s="876"/>
      <c r="AA326" s="863"/>
      <c r="AB326" s="879"/>
      <c r="AC326" s="882"/>
      <c r="AD326" s="430"/>
      <c r="AM326" s="430"/>
    </row>
    <row r="327" spans="1:39" ht="17.100000000000001" customHeight="1" x14ac:dyDescent="0.3">
      <c r="A327" s="904"/>
      <c r="B327" s="890"/>
      <c r="C327" s="890"/>
      <c r="D327" s="890"/>
      <c r="E327" s="24" t="s">
        <v>100</v>
      </c>
      <c r="F327" s="249">
        <v>0.21129999999999999</v>
      </c>
      <c r="G327" s="168"/>
      <c r="H327" s="166">
        <v>46191</v>
      </c>
      <c r="I327" s="169">
        <v>1</v>
      </c>
      <c r="J327" s="953"/>
      <c r="K327" s="344"/>
      <c r="L327" s="621"/>
      <c r="M327" s="945"/>
      <c r="N327" s="886"/>
      <c r="O327" s="886"/>
      <c r="P327" s="886"/>
      <c r="Q327" s="886"/>
      <c r="R327" s="886"/>
      <c r="S327" s="886"/>
      <c r="T327" s="886"/>
      <c r="U327" s="886"/>
      <c r="V327" s="886"/>
      <c r="W327" s="886"/>
      <c r="X327" s="886"/>
      <c r="Y327" s="886"/>
      <c r="Z327" s="877"/>
      <c r="AA327" s="864"/>
      <c r="AB327" s="880"/>
      <c r="AC327" s="883"/>
      <c r="AD327" s="211"/>
      <c r="AM327" s="211"/>
    </row>
    <row r="328" spans="1:39" ht="17.100000000000001" customHeight="1" x14ac:dyDescent="0.3">
      <c r="A328" s="884">
        <v>46142</v>
      </c>
      <c r="B328" s="963" t="s">
        <v>946</v>
      </c>
      <c r="C328" s="891"/>
      <c r="D328" s="891">
        <v>9</v>
      </c>
      <c r="E328" s="170" t="s">
        <v>261</v>
      </c>
      <c r="F328" s="392" t="s">
        <v>50</v>
      </c>
      <c r="G328" s="45"/>
      <c r="H328" s="43">
        <v>46373</v>
      </c>
      <c r="I328" s="46">
        <v>1</v>
      </c>
      <c r="J328" s="952" t="s">
        <v>598</v>
      </c>
      <c r="K328" s="345"/>
      <c r="L328" s="758"/>
      <c r="M328" s="943" t="s">
        <v>426</v>
      </c>
      <c r="N328" s="888">
        <v>44796</v>
      </c>
      <c r="O328" s="888">
        <v>45526</v>
      </c>
      <c r="P328" s="888">
        <v>46256</v>
      </c>
      <c r="Q328" s="891" t="s">
        <v>514</v>
      </c>
      <c r="R328" s="887"/>
      <c r="S328" s="959"/>
      <c r="T328" s="884">
        <v>44698</v>
      </c>
      <c r="U328" s="884">
        <v>45428</v>
      </c>
      <c r="V328" s="888">
        <v>46158</v>
      </c>
      <c r="W328" s="891" t="s">
        <v>331</v>
      </c>
      <c r="X328" s="887"/>
      <c r="Y328" s="884"/>
      <c r="Z328" s="897">
        <v>46036</v>
      </c>
      <c r="AA328" s="878" t="s">
        <v>428</v>
      </c>
      <c r="AB328" s="878"/>
      <c r="AC328" s="1020">
        <v>950000</v>
      </c>
      <c r="AD328" s="171"/>
      <c r="AM328" s="171"/>
    </row>
    <row r="329" spans="1:39" ht="17.100000000000001" customHeight="1" x14ac:dyDescent="0.3">
      <c r="A329" s="904"/>
      <c r="B329" s="964"/>
      <c r="C329" s="890"/>
      <c r="D329" s="890"/>
      <c r="E329" s="266" t="s">
        <v>262</v>
      </c>
      <c r="F329" s="242" t="s">
        <v>263</v>
      </c>
      <c r="G329" s="265"/>
      <c r="H329" s="166">
        <v>46373</v>
      </c>
      <c r="I329" s="169">
        <v>1</v>
      </c>
      <c r="J329" s="953"/>
      <c r="K329" s="748"/>
      <c r="L329" s="759"/>
      <c r="M329" s="945"/>
      <c r="N329" s="890"/>
      <c r="O329" s="946"/>
      <c r="P329" s="890"/>
      <c r="Q329" s="890"/>
      <c r="R329" s="886"/>
      <c r="S329" s="946"/>
      <c r="T329" s="904"/>
      <c r="U329" s="886"/>
      <c r="V329" s="890"/>
      <c r="W329" s="890"/>
      <c r="X329" s="886"/>
      <c r="Y329" s="904"/>
      <c r="Z329" s="877"/>
      <c r="AA329" s="880"/>
      <c r="AB329" s="880"/>
      <c r="AC329" s="883"/>
      <c r="AD329" s="320"/>
      <c r="AM329" s="324"/>
    </row>
    <row r="330" spans="1:39" ht="17.100000000000001" customHeight="1" x14ac:dyDescent="0.3">
      <c r="A330" s="884">
        <v>46173</v>
      </c>
      <c r="B330" s="891" t="s">
        <v>991</v>
      </c>
      <c r="C330" s="891"/>
      <c r="D330" s="891">
        <v>1</v>
      </c>
      <c r="E330" s="19" t="s">
        <v>266</v>
      </c>
      <c r="F330" s="170" t="s">
        <v>301</v>
      </c>
      <c r="G330" s="160"/>
      <c r="H330" s="161">
        <v>46282</v>
      </c>
      <c r="I330" s="162">
        <v>1</v>
      </c>
      <c r="J330" s="952" t="s">
        <v>513</v>
      </c>
      <c r="K330" s="341"/>
      <c r="L330" s="677"/>
      <c r="M330" s="968" t="s">
        <v>407</v>
      </c>
      <c r="N330" s="884">
        <v>45027</v>
      </c>
      <c r="O330" s="884">
        <v>45757</v>
      </c>
      <c r="P330" s="884">
        <v>46487</v>
      </c>
      <c r="Q330" s="1229" t="s">
        <v>286</v>
      </c>
      <c r="R330" s="878"/>
      <c r="S330" s="1048"/>
      <c r="T330" s="884">
        <v>44909</v>
      </c>
      <c r="U330" s="884">
        <v>45639</v>
      </c>
      <c r="V330" s="888">
        <v>46369</v>
      </c>
      <c r="W330" s="891" t="s">
        <v>719</v>
      </c>
      <c r="X330" s="891"/>
      <c r="Y330" s="903" t="s">
        <v>735</v>
      </c>
      <c r="Z330" s="897">
        <v>46051</v>
      </c>
      <c r="AA330" s="911" t="s">
        <v>454</v>
      </c>
      <c r="AB330" s="862" t="s">
        <v>446</v>
      </c>
      <c r="AC330" s="908">
        <v>1312500</v>
      </c>
      <c r="AD330" s="165"/>
      <c r="AM330" s="66"/>
    </row>
    <row r="331" spans="1:39" ht="17.100000000000001" customHeight="1" x14ac:dyDescent="0.3">
      <c r="A331" s="892"/>
      <c r="B331" s="889"/>
      <c r="C331" s="889"/>
      <c r="D331" s="965"/>
      <c r="E331" s="306" t="s">
        <v>298</v>
      </c>
      <c r="F331" s="310" t="s">
        <v>299</v>
      </c>
      <c r="G331" s="307"/>
      <c r="H331" s="308">
        <v>46282</v>
      </c>
      <c r="I331" s="309">
        <v>1</v>
      </c>
      <c r="J331" s="966"/>
      <c r="K331" s="343"/>
      <c r="L331" s="678"/>
      <c r="M331" s="970"/>
      <c r="N331" s="892"/>
      <c r="O331" s="892"/>
      <c r="P331" s="892"/>
      <c r="Q331" s="1218"/>
      <c r="R331" s="879"/>
      <c r="S331" s="879"/>
      <c r="T331" s="892"/>
      <c r="U331" s="885"/>
      <c r="V331" s="889"/>
      <c r="W331" s="889"/>
      <c r="X331" s="889"/>
      <c r="Y331" s="892"/>
      <c r="Z331" s="876"/>
      <c r="AA331" s="863"/>
      <c r="AB331" s="863"/>
      <c r="AC331" s="909"/>
      <c r="AM331" s="66"/>
    </row>
    <row r="332" spans="1:39" ht="17.100000000000001" customHeight="1" x14ac:dyDescent="0.3">
      <c r="A332" s="892"/>
      <c r="B332" s="889"/>
      <c r="C332" s="889"/>
      <c r="D332" s="889">
        <v>2</v>
      </c>
      <c r="E332" s="35" t="s">
        <v>266</v>
      </c>
      <c r="F332" s="44" t="s">
        <v>302</v>
      </c>
      <c r="G332" s="45"/>
      <c r="H332" s="43">
        <v>46282</v>
      </c>
      <c r="I332" s="46">
        <v>1</v>
      </c>
      <c r="J332" s="966"/>
      <c r="K332" s="343"/>
      <c r="L332" s="678"/>
      <c r="M332" s="970"/>
      <c r="N332" s="892"/>
      <c r="O332" s="892"/>
      <c r="P332" s="892"/>
      <c r="Q332" s="1218"/>
      <c r="R332" s="879"/>
      <c r="S332" s="879"/>
      <c r="T332" s="892"/>
      <c r="U332" s="885"/>
      <c r="V332" s="889"/>
      <c r="W332" s="889"/>
      <c r="X332" s="889"/>
      <c r="Y332" s="892"/>
      <c r="Z332" s="876"/>
      <c r="AA332" s="863"/>
      <c r="AB332" s="863"/>
      <c r="AC332" s="909"/>
      <c r="AM332" s="66"/>
    </row>
    <row r="333" spans="1:39" ht="17.100000000000001" customHeight="1" x14ac:dyDescent="0.3">
      <c r="A333" s="892"/>
      <c r="B333" s="889"/>
      <c r="C333" s="889"/>
      <c r="D333" s="965"/>
      <c r="E333" s="306" t="s">
        <v>298</v>
      </c>
      <c r="F333" s="310" t="s">
        <v>299</v>
      </c>
      <c r="G333" s="307"/>
      <c r="H333" s="43">
        <v>46282</v>
      </c>
      <c r="I333" s="309">
        <v>0.98</v>
      </c>
      <c r="J333" s="966"/>
      <c r="K333" s="343"/>
      <c r="L333" s="678"/>
      <c r="M333" s="970"/>
      <c r="N333" s="912"/>
      <c r="O333" s="912"/>
      <c r="P333" s="912"/>
      <c r="Q333" s="1230"/>
      <c r="R333" s="879"/>
      <c r="S333" s="879"/>
      <c r="T333" s="892"/>
      <c r="U333" s="885"/>
      <c r="V333" s="889"/>
      <c r="W333" s="889"/>
      <c r="X333" s="889"/>
      <c r="Y333" s="892"/>
      <c r="Z333" s="876"/>
      <c r="AA333" s="863"/>
      <c r="AB333" s="863"/>
      <c r="AC333" s="909"/>
      <c r="AM333" s="66"/>
    </row>
    <row r="334" spans="1:39" ht="17.100000000000001" customHeight="1" x14ac:dyDescent="0.3">
      <c r="A334" s="892"/>
      <c r="B334" s="889"/>
      <c r="C334" s="889"/>
      <c r="D334" s="889">
        <v>59</v>
      </c>
      <c r="E334" s="35" t="s">
        <v>266</v>
      </c>
      <c r="F334" s="44" t="s">
        <v>300</v>
      </c>
      <c r="G334" s="45"/>
      <c r="H334" s="43">
        <v>46282</v>
      </c>
      <c r="I334" s="46">
        <v>1</v>
      </c>
      <c r="J334" s="966"/>
      <c r="K334" s="343"/>
      <c r="L334" s="678"/>
      <c r="M334" s="970"/>
      <c r="N334" s="892">
        <v>45105</v>
      </c>
      <c r="O334" s="892">
        <v>45764</v>
      </c>
      <c r="P334" s="892">
        <v>46493</v>
      </c>
      <c r="Q334" s="1218" t="s">
        <v>760</v>
      </c>
      <c r="R334" s="879"/>
      <c r="S334" s="879"/>
      <c r="T334" s="892"/>
      <c r="U334" s="885"/>
      <c r="V334" s="889"/>
      <c r="W334" s="889"/>
      <c r="X334" s="889"/>
      <c r="Y334" s="892"/>
      <c r="Z334" s="876"/>
      <c r="AA334" s="863"/>
      <c r="AB334" s="863"/>
      <c r="AC334" s="909"/>
      <c r="AM334" s="66"/>
    </row>
    <row r="335" spans="1:39" ht="17.100000000000001" customHeight="1" x14ac:dyDescent="0.3">
      <c r="A335" s="904"/>
      <c r="B335" s="890"/>
      <c r="C335" s="890"/>
      <c r="D335" s="890"/>
      <c r="E335" s="15" t="s">
        <v>298</v>
      </c>
      <c r="F335" s="242" t="s">
        <v>299</v>
      </c>
      <c r="G335" s="168"/>
      <c r="H335" s="166">
        <v>46282</v>
      </c>
      <c r="I335" s="169">
        <v>0.97</v>
      </c>
      <c r="J335" s="953"/>
      <c r="K335" s="344"/>
      <c r="L335" s="679"/>
      <c r="M335" s="969"/>
      <c r="N335" s="904"/>
      <c r="O335" s="904"/>
      <c r="P335" s="904"/>
      <c r="Q335" s="1219"/>
      <c r="R335" s="880"/>
      <c r="S335" s="880"/>
      <c r="T335" s="904"/>
      <c r="U335" s="886"/>
      <c r="V335" s="890"/>
      <c r="W335" s="890"/>
      <c r="X335" s="890"/>
      <c r="Y335" s="904"/>
      <c r="Z335" s="877"/>
      <c r="AA335" s="864"/>
      <c r="AB335" s="864"/>
      <c r="AC335" s="910"/>
      <c r="AD335" s="380"/>
      <c r="AM335" s="66"/>
    </row>
    <row r="336" spans="1:39" ht="17.100000000000001" customHeight="1" x14ac:dyDescent="0.3">
      <c r="A336" s="884">
        <v>46265</v>
      </c>
      <c r="B336" s="891" t="s">
        <v>1030</v>
      </c>
      <c r="C336" s="891"/>
      <c r="D336" s="891">
        <v>7</v>
      </c>
      <c r="E336" s="19" t="s">
        <v>402</v>
      </c>
      <c r="F336" s="215" t="s">
        <v>50</v>
      </c>
      <c r="G336" s="160">
        <v>10</v>
      </c>
      <c r="H336" s="161">
        <v>46198</v>
      </c>
      <c r="I336" s="162">
        <v>1</v>
      </c>
      <c r="J336" s="952" t="s">
        <v>512</v>
      </c>
      <c r="K336" s="345"/>
      <c r="L336" s="630"/>
      <c r="M336" s="943" t="s">
        <v>413</v>
      </c>
      <c r="N336" s="888">
        <v>45034</v>
      </c>
      <c r="O336" s="884">
        <v>45764</v>
      </c>
      <c r="P336" s="884">
        <v>46494</v>
      </c>
      <c r="Q336" s="887" t="s">
        <v>479</v>
      </c>
      <c r="R336" s="887"/>
      <c r="S336" s="913"/>
      <c r="T336" s="884">
        <v>44797</v>
      </c>
      <c r="U336" s="884">
        <v>45527</v>
      </c>
      <c r="V336" s="884">
        <v>46257</v>
      </c>
      <c r="W336" s="887" t="s">
        <v>286</v>
      </c>
      <c r="X336" s="887"/>
      <c r="Y336" s="887"/>
      <c r="Z336" s="868">
        <v>45877</v>
      </c>
      <c r="AA336" s="862" t="s">
        <v>484</v>
      </c>
      <c r="AB336" s="862"/>
      <c r="AC336" s="908">
        <v>1500000</v>
      </c>
      <c r="AD336" s="171"/>
      <c r="AM336" s="66"/>
    </row>
    <row r="337" spans="1:39" ht="17.100000000000001" customHeight="1" x14ac:dyDescent="0.3">
      <c r="A337" s="892"/>
      <c r="B337" s="889"/>
      <c r="C337" s="889"/>
      <c r="D337" s="889"/>
      <c r="E337" s="11" t="s">
        <v>403</v>
      </c>
      <c r="F337" s="243" t="s">
        <v>401</v>
      </c>
      <c r="G337" s="49">
        <v>10</v>
      </c>
      <c r="H337" s="47">
        <v>46198</v>
      </c>
      <c r="I337" s="50">
        <v>1</v>
      </c>
      <c r="J337" s="966"/>
      <c r="K337" s="343"/>
      <c r="L337" s="628"/>
      <c r="M337" s="944"/>
      <c r="N337" s="889"/>
      <c r="O337" s="885"/>
      <c r="P337" s="885"/>
      <c r="Q337" s="885"/>
      <c r="R337" s="885"/>
      <c r="S337" s="889"/>
      <c r="T337" s="885"/>
      <c r="U337" s="885"/>
      <c r="V337" s="885"/>
      <c r="W337" s="885"/>
      <c r="X337" s="885"/>
      <c r="Y337" s="885"/>
      <c r="Z337" s="869"/>
      <c r="AA337" s="863"/>
      <c r="AB337" s="863"/>
      <c r="AC337" s="909"/>
      <c r="AM337" s="66"/>
    </row>
    <row r="338" spans="1:39" ht="17.100000000000001" customHeight="1" x14ac:dyDescent="0.3">
      <c r="A338" s="892"/>
      <c r="B338" s="889"/>
      <c r="C338" s="889"/>
      <c r="D338" s="889"/>
      <c r="E338" s="11" t="s">
        <v>3</v>
      </c>
      <c r="F338" s="250">
        <v>0.02</v>
      </c>
      <c r="G338" s="49">
        <v>10</v>
      </c>
      <c r="H338" s="47">
        <v>46198</v>
      </c>
      <c r="I338" s="50">
        <v>1</v>
      </c>
      <c r="J338" s="966"/>
      <c r="K338" s="343"/>
      <c r="L338" s="628"/>
      <c r="M338" s="944"/>
      <c r="N338" s="889"/>
      <c r="O338" s="885"/>
      <c r="P338" s="885"/>
      <c r="Q338" s="885"/>
      <c r="R338" s="885"/>
      <c r="S338" s="889"/>
      <c r="T338" s="885"/>
      <c r="U338" s="885"/>
      <c r="V338" s="885"/>
      <c r="W338" s="885"/>
      <c r="X338" s="885"/>
      <c r="Y338" s="885"/>
      <c r="Z338" s="869"/>
      <c r="AA338" s="863"/>
      <c r="AB338" s="863"/>
      <c r="AC338" s="909"/>
      <c r="AM338" s="66"/>
    </row>
    <row r="339" spans="1:39" ht="17.100000000000001" customHeight="1" x14ac:dyDescent="0.3">
      <c r="A339" s="904"/>
      <c r="B339" s="890"/>
      <c r="C339" s="890"/>
      <c r="D339" s="890"/>
      <c r="E339" s="24" t="s">
        <v>491</v>
      </c>
      <c r="F339" s="249">
        <v>0.21</v>
      </c>
      <c r="G339" s="168">
        <v>10</v>
      </c>
      <c r="H339" s="166">
        <v>46198</v>
      </c>
      <c r="I339" s="169">
        <v>1</v>
      </c>
      <c r="J339" s="953"/>
      <c r="K339" s="344"/>
      <c r="L339" s="629"/>
      <c r="M339" s="945"/>
      <c r="N339" s="890"/>
      <c r="O339" s="886"/>
      <c r="P339" s="886"/>
      <c r="Q339" s="886"/>
      <c r="R339" s="886"/>
      <c r="S339" s="890"/>
      <c r="T339" s="886"/>
      <c r="U339" s="886"/>
      <c r="V339" s="886"/>
      <c r="W339" s="886"/>
      <c r="X339" s="886"/>
      <c r="Y339" s="886"/>
      <c r="Z339" s="870"/>
      <c r="AA339" s="864"/>
      <c r="AB339" s="864"/>
      <c r="AC339" s="910"/>
      <c r="AD339" s="67"/>
      <c r="AM339" s="66"/>
    </row>
    <row r="340" spans="1:39" ht="17.100000000000001" customHeight="1" x14ac:dyDescent="0.3">
      <c r="A340" s="884">
        <v>46387</v>
      </c>
      <c r="B340" s="891" t="s">
        <v>1006</v>
      </c>
      <c r="C340" s="402"/>
      <c r="D340" s="891" t="s">
        <v>518</v>
      </c>
      <c r="E340" s="170" t="s">
        <v>182</v>
      </c>
      <c r="F340" s="170" t="s">
        <v>494</v>
      </c>
      <c r="G340" s="160">
        <v>10</v>
      </c>
      <c r="H340" s="161">
        <v>46100</v>
      </c>
      <c r="I340" s="162">
        <v>0.73</v>
      </c>
      <c r="J340" s="952" t="s">
        <v>597</v>
      </c>
      <c r="K340" s="593" t="s">
        <v>933</v>
      </c>
      <c r="L340" s="594">
        <v>46094</v>
      </c>
      <c r="M340" s="943" t="s">
        <v>495</v>
      </c>
      <c r="N340" s="884">
        <v>45156</v>
      </c>
      <c r="O340" s="884">
        <v>45886</v>
      </c>
      <c r="P340" s="884">
        <v>46616</v>
      </c>
      <c r="Q340" s="887"/>
      <c r="R340" s="914"/>
      <c r="S340" s="959"/>
      <c r="T340" s="884">
        <v>45126</v>
      </c>
      <c r="U340" s="884">
        <v>45856</v>
      </c>
      <c r="V340" s="888">
        <v>46586</v>
      </c>
      <c r="W340" s="891" t="s">
        <v>497</v>
      </c>
      <c r="X340" s="914" t="s">
        <v>801</v>
      </c>
      <c r="Y340" s="903" t="s">
        <v>771</v>
      </c>
      <c r="Z340" s="897">
        <v>46066</v>
      </c>
      <c r="AA340" s="862" t="s">
        <v>496</v>
      </c>
      <c r="AB340" s="862"/>
      <c r="AC340" s="908">
        <v>1400000</v>
      </c>
      <c r="AD340" s="56"/>
      <c r="AM340" s="66"/>
    </row>
    <row r="341" spans="1:39" ht="17.100000000000001" customHeight="1" x14ac:dyDescent="0.3">
      <c r="A341" s="892"/>
      <c r="B341" s="889"/>
      <c r="C341" s="403"/>
      <c r="D341" s="889"/>
      <c r="E341" s="48" t="s">
        <v>539</v>
      </c>
      <c r="F341" s="243" t="s">
        <v>240</v>
      </c>
      <c r="G341" s="49">
        <v>10</v>
      </c>
      <c r="H341" s="47">
        <v>46100</v>
      </c>
      <c r="I341" s="50">
        <v>0.72</v>
      </c>
      <c r="J341" s="966"/>
      <c r="K341" s="342" t="s">
        <v>933</v>
      </c>
      <c r="L341" s="359">
        <v>46094</v>
      </c>
      <c r="M341" s="944"/>
      <c r="N341" s="885"/>
      <c r="O341" s="892"/>
      <c r="P341" s="885"/>
      <c r="Q341" s="885"/>
      <c r="R341" s="885"/>
      <c r="S341" s="921"/>
      <c r="T341" s="892"/>
      <c r="U341" s="892"/>
      <c r="V341" s="921"/>
      <c r="W341" s="889"/>
      <c r="X341" s="885"/>
      <c r="Y341" s="892"/>
      <c r="Z341" s="876"/>
      <c r="AA341" s="863"/>
      <c r="AB341" s="863"/>
      <c r="AC341" s="909"/>
      <c r="AD341" s="649"/>
      <c r="AM341" s="66"/>
    </row>
    <row r="342" spans="1:39" ht="17.100000000000001" customHeight="1" x14ac:dyDescent="0.3">
      <c r="A342" s="892"/>
      <c r="B342" s="889"/>
      <c r="C342" s="403"/>
      <c r="D342" s="951"/>
      <c r="E342" s="407" t="s">
        <v>492</v>
      </c>
      <c r="F342" s="251">
        <v>0.21</v>
      </c>
      <c r="G342" s="408">
        <v>10</v>
      </c>
      <c r="H342" s="409">
        <v>46100</v>
      </c>
      <c r="I342" s="410">
        <v>0.81</v>
      </c>
      <c r="J342" s="966"/>
      <c r="K342" s="342" t="s">
        <v>934</v>
      </c>
      <c r="L342" s="359">
        <v>46094</v>
      </c>
      <c r="M342" s="944"/>
      <c r="N342" s="885"/>
      <c r="O342" s="892"/>
      <c r="P342" s="885"/>
      <c r="Q342" s="885"/>
      <c r="R342" s="885"/>
      <c r="S342" s="921"/>
      <c r="T342" s="912"/>
      <c r="U342" s="912"/>
      <c r="V342" s="954"/>
      <c r="W342" s="902"/>
      <c r="X342" s="885"/>
      <c r="Y342" s="892"/>
      <c r="Z342" s="1018"/>
      <c r="AA342" s="863"/>
      <c r="AB342" s="863"/>
      <c r="AC342" s="909"/>
      <c r="AM342" s="66"/>
    </row>
    <row r="343" spans="1:39" ht="17.100000000000001" customHeight="1" x14ac:dyDescent="0.3">
      <c r="A343" s="892"/>
      <c r="B343" s="889"/>
      <c r="C343" s="403"/>
      <c r="D343" s="889" t="s">
        <v>489</v>
      </c>
      <c r="E343" s="44" t="s">
        <v>493</v>
      </c>
      <c r="F343" s="44" t="s">
        <v>494</v>
      </c>
      <c r="G343" s="45">
        <v>10</v>
      </c>
      <c r="H343" s="43">
        <v>46100</v>
      </c>
      <c r="I343" s="46">
        <v>0.85</v>
      </c>
      <c r="J343" s="966"/>
      <c r="K343" s="342" t="s">
        <v>935</v>
      </c>
      <c r="L343" s="359">
        <v>46094</v>
      </c>
      <c r="M343" s="944"/>
      <c r="N343" s="885"/>
      <c r="O343" s="892"/>
      <c r="P343" s="885"/>
      <c r="Q343" s="885"/>
      <c r="R343" s="885"/>
      <c r="S343" s="921"/>
      <c r="T343" s="892">
        <v>45099</v>
      </c>
      <c r="U343" s="892">
        <v>45769</v>
      </c>
      <c r="V343" s="921">
        <v>46133</v>
      </c>
      <c r="W343" s="889" t="s">
        <v>587</v>
      </c>
      <c r="X343" s="885"/>
      <c r="Y343" s="892"/>
      <c r="Z343" s="1034">
        <v>46080</v>
      </c>
      <c r="AA343" s="863"/>
      <c r="AB343" s="863"/>
      <c r="AC343" s="909"/>
      <c r="AM343" s="66"/>
    </row>
    <row r="344" spans="1:39" ht="17.100000000000001" customHeight="1" x14ac:dyDescent="0.3">
      <c r="A344" s="892"/>
      <c r="B344" s="889"/>
      <c r="C344" s="403"/>
      <c r="D344" s="889"/>
      <c r="E344" s="48" t="s">
        <v>490</v>
      </c>
      <c r="F344" s="243" t="s">
        <v>240</v>
      </c>
      <c r="G344" s="49">
        <v>10</v>
      </c>
      <c r="H344" s="47">
        <v>46100</v>
      </c>
      <c r="I344" s="50">
        <v>0.65</v>
      </c>
      <c r="J344" s="966"/>
      <c r="K344" s="342" t="s">
        <v>933</v>
      </c>
      <c r="L344" s="359">
        <v>46094</v>
      </c>
      <c r="M344" s="944"/>
      <c r="N344" s="885"/>
      <c r="O344" s="892"/>
      <c r="P344" s="885"/>
      <c r="Q344" s="885"/>
      <c r="R344" s="885"/>
      <c r="S344" s="921"/>
      <c r="T344" s="892"/>
      <c r="U344" s="885"/>
      <c r="V344" s="889"/>
      <c r="W344" s="889"/>
      <c r="X344" s="885"/>
      <c r="Y344" s="892"/>
      <c r="Z344" s="876"/>
      <c r="AA344" s="863"/>
      <c r="AB344" s="863"/>
      <c r="AC344" s="909"/>
      <c r="AM344" s="66"/>
    </row>
    <row r="345" spans="1:39" ht="17.100000000000001" customHeight="1" x14ac:dyDescent="0.3">
      <c r="A345" s="904"/>
      <c r="B345" s="890"/>
      <c r="C345" s="404"/>
      <c r="D345" s="890"/>
      <c r="E345" s="167" t="s">
        <v>492</v>
      </c>
      <c r="F345" s="249" t="s">
        <v>737</v>
      </c>
      <c r="G345" s="168"/>
      <c r="H345" s="567">
        <v>45761</v>
      </c>
      <c r="I345" s="568"/>
      <c r="J345" s="953"/>
      <c r="K345" s="344"/>
      <c r="L345" s="566"/>
      <c r="M345" s="945"/>
      <c r="N345" s="886"/>
      <c r="O345" s="904"/>
      <c r="P345" s="886"/>
      <c r="Q345" s="886"/>
      <c r="R345" s="886"/>
      <c r="S345" s="946"/>
      <c r="T345" s="904"/>
      <c r="U345" s="886"/>
      <c r="V345" s="890"/>
      <c r="W345" s="890"/>
      <c r="X345" s="886"/>
      <c r="Y345" s="904"/>
      <c r="Z345" s="877"/>
      <c r="AA345" s="864"/>
      <c r="AB345" s="864"/>
      <c r="AC345" s="910"/>
      <c r="AD345" s="67"/>
      <c r="AM345" s="66"/>
    </row>
    <row r="346" spans="1:39" ht="17.100000000000001" customHeight="1" x14ac:dyDescent="0.3">
      <c r="A346" s="884">
        <v>46356</v>
      </c>
      <c r="B346" s="891" t="s">
        <v>992</v>
      </c>
      <c r="C346" s="423"/>
      <c r="D346" s="891">
        <v>1</v>
      </c>
      <c r="E346" s="170" t="s">
        <v>548</v>
      </c>
      <c r="F346" s="170" t="s">
        <v>549</v>
      </c>
      <c r="G346" s="160">
        <v>10</v>
      </c>
      <c r="H346" s="161">
        <v>46246</v>
      </c>
      <c r="I346" s="7">
        <v>1</v>
      </c>
      <c r="J346" s="952" t="s">
        <v>632</v>
      </c>
      <c r="K346" s="345"/>
      <c r="L346" s="668"/>
      <c r="M346" s="943" t="s">
        <v>551</v>
      </c>
      <c r="N346" s="884">
        <v>45245</v>
      </c>
      <c r="O346" s="884">
        <v>45975</v>
      </c>
      <c r="P346" s="884">
        <v>46705</v>
      </c>
      <c r="Q346" s="887" t="s">
        <v>856</v>
      </c>
      <c r="R346" s="891"/>
      <c r="S346" s="959"/>
      <c r="T346" s="884">
        <v>45247</v>
      </c>
      <c r="U346" s="884">
        <v>45987</v>
      </c>
      <c r="V346" s="888">
        <v>46707</v>
      </c>
      <c r="W346" s="891" t="s">
        <v>528</v>
      </c>
      <c r="X346" s="891"/>
      <c r="Y346" s="884"/>
      <c r="Z346" s="897">
        <v>46059</v>
      </c>
      <c r="AA346" s="862" t="s">
        <v>353</v>
      </c>
      <c r="AB346" s="862"/>
      <c r="AC346" s="908">
        <v>1250000</v>
      </c>
      <c r="AD346" s="646" t="s">
        <v>844</v>
      </c>
      <c r="AM346" s="66"/>
    </row>
    <row r="347" spans="1:39" ht="17.100000000000001" customHeight="1" x14ac:dyDescent="0.3">
      <c r="A347" s="892"/>
      <c r="B347" s="889"/>
      <c r="C347" s="422"/>
      <c r="D347" s="889"/>
      <c r="E347" s="48" t="s">
        <v>527</v>
      </c>
      <c r="F347" s="243" t="s">
        <v>526</v>
      </c>
      <c r="G347" s="49">
        <v>10</v>
      </c>
      <c r="H347" s="47">
        <v>46246</v>
      </c>
      <c r="I347" s="13">
        <v>0.86</v>
      </c>
      <c r="J347" s="966"/>
      <c r="K347" s="343"/>
      <c r="L347" s="669"/>
      <c r="M347" s="944"/>
      <c r="N347" s="885"/>
      <c r="O347" s="892"/>
      <c r="P347" s="885"/>
      <c r="Q347" s="885"/>
      <c r="R347" s="889"/>
      <c r="S347" s="921"/>
      <c r="T347" s="892"/>
      <c r="U347" s="892"/>
      <c r="V347" s="889"/>
      <c r="W347" s="889"/>
      <c r="X347" s="889"/>
      <c r="Y347" s="892"/>
      <c r="Z347" s="876"/>
      <c r="AA347" s="863"/>
      <c r="AB347" s="863"/>
      <c r="AC347" s="909"/>
      <c r="AD347" s="552" t="s">
        <v>853</v>
      </c>
      <c r="AM347" s="66"/>
    </row>
    <row r="348" spans="1:39" ht="17.100000000000001" customHeight="1" x14ac:dyDescent="0.3">
      <c r="A348" s="904"/>
      <c r="B348" s="890"/>
      <c r="C348" s="421"/>
      <c r="D348" s="890"/>
      <c r="E348" s="167" t="s">
        <v>492</v>
      </c>
      <c r="F348" s="249">
        <v>0.21</v>
      </c>
      <c r="G348" s="168">
        <v>10</v>
      </c>
      <c r="H348" s="166">
        <v>46246</v>
      </c>
      <c r="I348" s="17">
        <v>1</v>
      </c>
      <c r="J348" s="953"/>
      <c r="K348" s="344"/>
      <c r="L348" s="670"/>
      <c r="M348" s="945"/>
      <c r="N348" s="886"/>
      <c r="O348" s="904"/>
      <c r="P348" s="886"/>
      <c r="Q348" s="886"/>
      <c r="R348" s="890"/>
      <c r="S348" s="946"/>
      <c r="T348" s="904"/>
      <c r="U348" s="904"/>
      <c r="V348" s="890"/>
      <c r="W348" s="890"/>
      <c r="X348" s="890"/>
      <c r="Y348" s="904"/>
      <c r="Z348" s="877"/>
      <c r="AA348" s="864"/>
      <c r="AB348" s="864"/>
      <c r="AC348" s="910"/>
      <c r="AD348" s="67"/>
      <c r="AM348" s="66"/>
    </row>
    <row r="349" spans="1:39" ht="17.100000000000001" customHeight="1" x14ac:dyDescent="0.3">
      <c r="A349" s="903">
        <v>46387</v>
      </c>
      <c r="B349" s="913" t="s">
        <v>1007</v>
      </c>
      <c r="C349" s="891"/>
      <c r="D349" s="891" t="s">
        <v>824</v>
      </c>
      <c r="E349" s="170" t="s">
        <v>4</v>
      </c>
      <c r="F349" s="170" t="s">
        <v>541</v>
      </c>
      <c r="G349" s="160">
        <v>10</v>
      </c>
      <c r="H349" s="161">
        <v>46346</v>
      </c>
      <c r="I349" s="162">
        <v>1</v>
      </c>
      <c r="J349" s="952" t="s">
        <v>603</v>
      </c>
      <c r="K349" s="345"/>
      <c r="L349" s="734"/>
      <c r="M349" s="943" t="s">
        <v>542</v>
      </c>
      <c r="N349" s="884">
        <v>45229</v>
      </c>
      <c r="O349" s="884">
        <v>45959</v>
      </c>
      <c r="P349" s="884">
        <v>46689</v>
      </c>
      <c r="Q349" s="887" t="s">
        <v>543</v>
      </c>
      <c r="R349" s="891"/>
      <c r="S349" s="959"/>
      <c r="T349" s="884">
        <v>45105</v>
      </c>
      <c r="U349" s="884">
        <v>45835</v>
      </c>
      <c r="V349" s="888">
        <v>46565</v>
      </c>
      <c r="W349" s="891" t="s">
        <v>543</v>
      </c>
      <c r="X349" s="891"/>
      <c r="Y349" s="903" t="s">
        <v>794</v>
      </c>
      <c r="Z349" s="901">
        <v>46080</v>
      </c>
      <c r="AA349" s="862" t="s">
        <v>535</v>
      </c>
      <c r="AB349" s="862" t="s">
        <v>554</v>
      </c>
      <c r="AC349" s="908">
        <v>1500000</v>
      </c>
      <c r="AD349" s="171"/>
      <c r="AM349" s="66"/>
    </row>
    <row r="350" spans="1:39" ht="17.100000000000001" customHeight="1" x14ac:dyDescent="0.3">
      <c r="A350" s="892"/>
      <c r="B350" s="889"/>
      <c r="C350" s="902"/>
      <c r="D350" s="902"/>
      <c r="E350" s="48" t="s">
        <v>131</v>
      </c>
      <c r="F350" s="243" t="s">
        <v>238</v>
      </c>
      <c r="G350" s="49">
        <v>10</v>
      </c>
      <c r="H350" s="47">
        <v>46100</v>
      </c>
      <c r="I350" s="50">
        <v>0.61</v>
      </c>
      <c r="J350" s="966"/>
      <c r="K350" s="342" t="s">
        <v>930</v>
      </c>
      <c r="L350" s="359">
        <v>46094</v>
      </c>
      <c r="M350" s="944"/>
      <c r="N350" s="912"/>
      <c r="O350" s="1220"/>
      <c r="P350" s="912"/>
      <c r="Q350" s="1220"/>
      <c r="R350" s="889"/>
      <c r="S350" s="921"/>
      <c r="T350" s="892"/>
      <c r="U350" s="885"/>
      <c r="V350" s="889"/>
      <c r="W350" s="889"/>
      <c r="X350" s="889"/>
      <c r="Y350" s="892"/>
      <c r="Z350" s="869"/>
      <c r="AA350" s="863"/>
      <c r="AB350" s="863"/>
      <c r="AC350" s="909"/>
      <c r="AD350" s="380"/>
      <c r="AM350" s="66"/>
    </row>
    <row r="351" spans="1:39" ht="17.100000000000001" customHeight="1" x14ac:dyDescent="0.3">
      <c r="A351" s="892"/>
      <c r="B351" s="889"/>
      <c r="C351" s="940"/>
      <c r="D351" s="940" t="s">
        <v>534</v>
      </c>
      <c r="E351" s="48" t="s">
        <v>574</v>
      </c>
      <c r="F351" s="48" t="s">
        <v>1</v>
      </c>
      <c r="G351" s="49">
        <v>10</v>
      </c>
      <c r="H351" s="47">
        <v>46331</v>
      </c>
      <c r="I351" s="50">
        <v>1</v>
      </c>
      <c r="J351" s="966"/>
      <c r="K351" s="343"/>
      <c r="L351" s="688"/>
      <c r="M351" s="944"/>
      <c r="N351" s="892">
        <v>45250</v>
      </c>
      <c r="O351" s="892">
        <v>45980</v>
      </c>
      <c r="P351" s="892">
        <v>46710</v>
      </c>
      <c r="Q351" s="885" t="s">
        <v>832</v>
      </c>
      <c r="R351" s="889"/>
      <c r="S351" s="921"/>
      <c r="T351" s="892"/>
      <c r="U351" s="885"/>
      <c r="V351" s="889"/>
      <c r="W351" s="889"/>
      <c r="X351" s="889"/>
      <c r="Y351" s="892"/>
      <c r="Z351" s="869"/>
      <c r="AA351" s="863"/>
      <c r="AB351" s="863"/>
      <c r="AC351" s="909"/>
      <c r="AD351" s="380"/>
      <c r="AM351" s="66"/>
    </row>
    <row r="352" spans="1:39" ht="17.100000000000001" customHeight="1" x14ac:dyDescent="0.3">
      <c r="A352" s="904"/>
      <c r="B352" s="890"/>
      <c r="C352" s="890"/>
      <c r="D352" s="890"/>
      <c r="E352" s="167" t="s">
        <v>540</v>
      </c>
      <c r="F352" s="243" t="s">
        <v>538</v>
      </c>
      <c r="G352" s="168">
        <v>10</v>
      </c>
      <c r="H352" s="166">
        <v>46100</v>
      </c>
      <c r="I352" s="169">
        <v>0.72</v>
      </c>
      <c r="J352" s="953"/>
      <c r="K352" s="717" t="s">
        <v>931</v>
      </c>
      <c r="L352" s="718">
        <v>46094</v>
      </c>
      <c r="M352" s="945"/>
      <c r="N352" s="886"/>
      <c r="O352" s="904"/>
      <c r="P352" s="886"/>
      <c r="Q352" s="886"/>
      <c r="R352" s="890"/>
      <c r="S352" s="946"/>
      <c r="T352" s="904"/>
      <c r="U352" s="886"/>
      <c r="V352" s="890"/>
      <c r="W352" s="890"/>
      <c r="X352" s="890"/>
      <c r="Y352" s="904"/>
      <c r="Z352" s="870"/>
      <c r="AA352" s="864"/>
      <c r="AB352" s="864"/>
      <c r="AC352" s="910"/>
      <c r="AD352" s="67"/>
      <c r="AM352" s="66"/>
    </row>
    <row r="353" spans="1:39" ht="17.100000000000001" customHeight="1" x14ac:dyDescent="0.3">
      <c r="A353" s="884">
        <v>46271</v>
      </c>
      <c r="B353" s="891" t="s">
        <v>570</v>
      </c>
      <c r="C353" s="428"/>
      <c r="D353" s="428"/>
      <c r="E353" s="170" t="s">
        <v>571</v>
      </c>
      <c r="F353" s="170" t="s">
        <v>576</v>
      </c>
      <c r="G353" s="160">
        <v>10</v>
      </c>
      <c r="H353" s="161"/>
      <c r="I353" s="162">
        <v>0.85</v>
      </c>
      <c r="J353" s="1217" t="s">
        <v>654</v>
      </c>
      <c r="K353" s="345"/>
      <c r="L353" s="354"/>
      <c r="M353" s="1214" t="s">
        <v>406</v>
      </c>
      <c r="N353" s="160"/>
      <c r="O353" s="160"/>
      <c r="P353" s="160"/>
      <c r="Q353" s="160"/>
      <c r="R353" s="160"/>
      <c r="S353" s="161"/>
      <c r="T353" s="161"/>
      <c r="U353" s="160"/>
      <c r="V353" s="8"/>
      <c r="W353" s="8"/>
      <c r="X353" s="160"/>
      <c r="Y353" s="161"/>
      <c r="Z353" s="905"/>
      <c r="AA353" s="865"/>
      <c r="AB353" s="865"/>
      <c r="AC353" s="898"/>
      <c r="AD353" s="171"/>
      <c r="AM353" s="66"/>
    </row>
    <row r="354" spans="1:39" ht="17.100000000000001" customHeight="1" x14ac:dyDescent="0.3">
      <c r="A354" s="892"/>
      <c r="B354" s="889"/>
      <c r="C354" s="429"/>
      <c r="D354" s="429"/>
      <c r="E354" s="11" t="s">
        <v>536</v>
      </c>
      <c r="F354" s="243" t="s">
        <v>537</v>
      </c>
      <c r="G354" s="49">
        <v>10</v>
      </c>
      <c r="H354" s="47">
        <v>45913</v>
      </c>
      <c r="I354" s="50">
        <v>0.95</v>
      </c>
      <c r="J354" s="966"/>
      <c r="K354" s="343"/>
      <c r="L354" s="735"/>
      <c r="M354" s="1089"/>
      <c r="Y354" s="47" t="s">
        <v>786</v>
      </c>
      <c r="Z354" s="906"/>
      <c r="AA354" s="866"/>
      <c r="AB354" s="866"/>
      <c r="AC354" s="899"/>
      <c r="AM354" s="66"/>
    </row>
    <row r="355" spans="1:39" ht="17.100000000000001" customHeight="1" x14ac:dyDescent="0.3">
      <c r="A355" s="892"/>
      <c r="B355" s="889"/>
      <c r="C355" s="438"/>
      <c r="D355" s="438"/>
      <c r="E355" s="446" t="s">
        <v>572</v>
      </c>
      <c r="F355" s="447">
        <v>0.21</v>
      </c>
      <c r="G355" s="448">
        <v>10</v>
      </c>
      <c r="H355" s="449">
        <v>45960</v>
      </c>
      <c r="I355" s="450">
        <v>0.92</v>
      </c>
      <c r="J355" s="966"/>
      <c r="K355" s="346"/>
      <c r="L355" s="360"/>
      <c r="M355" s="1215"/>
      <c r="N355" s="448"/>
      <c r="O355" s="448"/>
      <c r="P355" s="448"/>
      <c r="Q355" s="448"/>
      <c r="R355" s="448"/>
      <c r="S355" s="449"/>
      <c r="T355" s="449"/>
      <c r="U355" s="448"/>
      <c r="V355" s="451"/>
      <c r="W355" s="451"/>
      <c r="X355" s="448"/>
      <c r="Y355" s="449"/>
      <c r="Z355" s="906"/>
      <c r="AA355" s="866"/>
      <c r="AB355" s="866"/>
      <c r="AC355" s="899"/>
      <c r="AD355" s="380"/>
      <c r="AM355" s="66"/>
    </row>
    <row r="356" spans="1:39" ht="17.100000000000001" customHeight="1" x14ac:dyDescent="0.3">
      <c r="A356" s="892"/>
      <c r="B356" s="940" t="s">
        <v>569</v>
      </c>
      <c r="C356" s="439"/>
      <c r="D356" s="439"/>
      <c r="E356" s="48" t="s">
        <v>575</v>
      </c>
      <c r="F356" s="445" t="s">
        <v>577</v>
      </c>
      <c r="G356" s="49">
        <v>47</v>
      </c>
      <c r="I356" s="50">
        <v>0.45</v>
      </c>
      <c r="J356" s="966"/>
      <c r="K356" s="343"/>
      <c r="L356" s="355"/>
      <c r="M356" s="1215"/>
      <c r="Z356" s="906"/>
      <c r="AA356" s="866"/>
      <c r="AB356" s="866"/>
      <c r="AC356" s="899"/>
      <c r="AM356" s="66"/>
    </row>
    <row r="357" spans="1:39" ht="17.100000000000001" customHeight="1" x14ac:dyDescent="0.3">
      <c r="A357" s="892"/>
      <c r="B357" s="889"/>
      <c r="C357" s="607"/>
      <c r="D357" s="607"/>
      <c r="E357" s="48" t="s">
        <v>540</v>
      </c>
      <c r="F357" s="243" t="s">
        <v>538</v>
      </c>
      <c r="G357" s="49">
        <v>10</v>
      </c>
      <c r="H357" s="47">
        <v>45960</v>
      </c>
      <c r="I357" s="50">
        <v>0.9</v>
      </c>
      <c r="J357" s="966"/>
      <c r="K357" s="343"/>
      <c r="L357" s="610"/>
      <c r="M357" s="1215"/>
      <c r="Z357" s="906"/>
      <c r="AA357" s="866"/>
      <c r="AB357" s="866"/>
      <c r="AC357" s="899"/>
      <c r="AM357" s="66"/>
    </row>
    <row r="358" spans="1:39" ht="17.100000000000001" customHeight="1" x14ac:dyDescent="0.3">
      <c r="A358" s="904"/>
      <c r="B358" s="890"/>
      <c r="C358" s="440"/>
      <c r="D358" s="440"/>
      <c r="E358" s="167" t="s">
        <v>573</v>
      </c>
      <c r="F358" s="249">
        <v>0.21</v>
      </c>
      <c r="G358" s="168">
        <v>10</v>
      </c>
      <c r="H358" s="166">
        <v>45960</v>
      </c>
      <c r="I358" s="169">
        <v>1</v>
      </c>
      <c r="J358" s="953"/>
      <c r="K358" s="344"/>
      <c r="L358" s="356"/>
      <c r="M358" s="1216"/>
      <c r="N358" s="168"/>
      <c r="O358" s="168"/>
      <c r="P358" s="168"/>
      <c r="Q358" s="168"/>
      <c r="R358" s="168"/>
      <c r="S358" s="166"/>
      <c r="T358" s="166"/>
      <c r="U358" s="168"/>
      <c r="V358" s="18"/>
      <c r="W358" s="18"/>
      <c r="X358" s="168"/>
      <c r="Y358" s="166"/>
      <c r="Z358" s="907"/>
      <c r="AA358" s="867"/>
      <c r="AB358" s="867"/>
      <c r="AC358" s="900"/>
      <c r="AD358" s="67"/>
      <c r="AM358" s="66"/>
    </row>
    <row r="359" spans="1:39" ht="17.100000000000001" customHeight="1" x14ac:dyDescent="0.3">
      <c r="A359" s="884">
        <v>46387</v>
      </c>
      <c r="B359" s="913" t="s">
        <v>993</v>
      </c>
      <c r="C359" s="891"/>
      <c r="D359" s="913" t="s">
        <v>917</v>
      </c>
      <c r="E359" s="170" t="s">
        <v>561</v>
      </c>
      <c r="F359" s="170" t="s">
        <v>563</v>
      </c>
      <c r="G359" s="160">
        <v>10</v>
      </c>
      <c r="H359" s="161"/>
      <c r="I359" s="162">
        <v>1</v>
      </c>
      <c r="J359" s="914" t="s">
        <v>592</v>
      </c>
      <c r="K359" s="348"/>
      <c r="L359" s="348"/>
      <c r="M359" s="943" t="s">
        <v>564</v>
      </c>
      <c r="N359" s="884">
        <v>45246</v>
      </c>
      <c r="O359" s="884">
        <v>45976</v>
      </c>
      <c r="P359" s="884">
        <v>46706</v>
      </c>
      <c r="Q359" s="887"/>
      <c r="R359" s="887" t="s">
        <v>842</v>
      </c>
      <c r="S359" s="959"/>
      <c r="T359" s="884">
        <v>42451</v>
      </c>
      <c r="U359" s="884">
        <v>45737</v>
      </c>
      <c r="V359" s="888">
        <v>46102</v>
      </c>
      <c r="W359" s="891"/>
      <c r="X359" s="887"/>
      <c r="Y359" s="903" t="s">
        <v>722</v>
      </c>
      <c r="Z359" s="897">
        <v>45909</v>
      </c>
      <c r="AA359" s="911" t="s">
        <v>595</v>
      </c>
      <c r="AB359" s="862" t="s">
        <v>565</v>
      </c>
      <c r="AC359" s="908">
        <f>5940000/3</f>
        <v>1980000</v>
      </c>
      <c r="AD359" s="171"/>
      <c r="AM359" s="66"/>
    </row>
    <row r="360" spans="1:39" ht="17.100000000000001" customHeight="1" x14ac:dyDescent="0.3">
      <c r="A360" s="892"/>
      <c r="B360" s="889"/>
      <c r="C360" s="889"/>
      <c r="D360" s="889"/>
      <c r="E360" s="44" t="s">
        <v>854</v>
      </c>
      <c r="F360" s="243" t="s">
        <v>861</v>
      </c>
      <c r="G360" s="45">
        <v>10</v>
      </c>
      <c r="H360" s="437">
        <v>46141</v>
      </c>
      <c r="I360" s="46">
        <v>0.9</v>
      </c>
      <c r="J360" s="885"/>
      <c r="K360" s="349"/>
      <c r="L360" s="349"/>
      <c r="M360" s="944"/>
      <c r="N360" s="885"/>
      <c r="O360" s="885"/>
      <c r="P360" s="885"/>
      <c r="Q360" s="885"/>
      <c r="R360" s="885"/>
      <c r="S360" s="921"/>
      <c r="T360" s="892"/>
      <c r="U360" s="885"/>
      <c r="V360" s="889"/>
      <c r="W360" s="889"/>
      <c r="X360" s="885"/>
      <c r="Y360" s="892"/>
      <c r="Z360" s="876"/>
      <c r="AA360" s="863"/>
      <c r="AB360" s="863"/>
      <c r="AC360" s="909"/>
      <c r="AD360" s="165"/>
      <c r="AM360" s="66"/>
    </row>
    <row r="361" spans="1:39" ht="17.100000000000001" customHeight="1" x14ac:dyDescent="0.3">
      <c r="A361" s="892"/>
      <c r="B361" s="889"/>
      <c r="C361" s="889"/>
      <c r="D361" s="889"/>
      <c r="E361" s="44" t="s">
        <v>562</v>
      </c>
      <c r="F361" s="445">
        <v>0.2097</v>
      </c>
      <c r="G361" s="45">
        <v>10</v>
      </c>
      <c r="H361" s="437">
        <v>46134</v>
      </c>
      <c r="I361" s="46">
        <v>0.68</v>
      </c>
      <c r="J361" s="885"/>
      <c r="K361" s="349"/>
      <c r="L361" s="349"/>
      <c r="M361" s="944"/>
      <c r="N361" s="885"/>
      <c r="O361" s="885"/>
      <c r="P361" s="885"/>
      <c r="Q361" s="885"/>
      <c r="R361" s="885"/>
      <c r="S361" s="921"/>
      <c r="T361" s="892"/>
      <c r="U361" s="885"/>
      <c r="V361" s="889"/>
      <c r="W361" s="889"/>
      <c r="X361" s="885"/>
      <c r="Y361" s="892"/>
      <c r="Z361" s="876"/>
      <c r="AA361" s="863"/>
      <c r="AB361" s="863"/>
      <c r="AC361" s="909"/>
      <c r="AD361" s="165"/>
      <c r="AM361" s="66"/>
    </row>
    <row r="362" spans="1:39" ht="17.100000000000001" customHeight="1" x14ac:dyDescent="0.3">
      <c r="A362" s="892"/>
      <c r="B362" s="889"/>
      <c r="C362" s="889"/>
      <c r="D362" s="1150" t="s">
        <v>918</v>
      </c>
      <c r="E362" s="48" t="s">
        <v>561</v>
      </c>
      <c r="F362" s="44" t="s">
        <v>563</v>
      </c>
      <c r="G362" s="49">
        <v>10</v>
      </c>
      <c r="I362" s="50">
        <v>1</v>
      </c>
      <c r="J362" s="885"/>
      <c r="K362" s="350"/>
      <c r="L362" s="350"/>
      <c r="M362" s="944"/>
      <c r="N362" s="885"/>
      <c r="O362" s="885"/>
      <c r="P362" s="885"/>
      <c r="Q362" s="885"/>
      <c r="R362" s="885"/>
      <c r="S362" s="921"/>
      <c r="T362" s="892"/>
      <c r="U362" s="885"/>
      <c r="V362" s="889"/>
      <c r="W362" s="889"/>
      <c r="X362" s="885"/>
      <c r="Y362" s="892"/>
      <c r="Z362" s="876"/>
      <c r="AA362" s="863"/>
      <c r="AB362" s="863"/>
      <c r="AC362" s="909"/>
      <c r="AM362" s="66"/>
    </row>
    <row r="363" spans="1:39" ht="17.100000000000001" customHeight="1" x14ac:dyDescent="0.3">
      <c r="A363" s="892"/>
      <c r="B363" s="889"/>
      <c r="C363" s="889"/>
      <c r="D363" s="889"/>
      <c r="E363" s="44" t="s">
        <v>855</v>
      </c>
      <c r="F363" s="243" t="s">
        <v>862</v>
      </c>
      <c r="G363" s="49">
        <v>10</v>
      </c>
      <c r="H363" s="47">
        <v>46141</v>
      </c>
      <c r="I363" s="50">
        <v>0.9</v>
      </c>
      <c r="J363" s="885"/>
      <c r="K363" s="350"/>
      <c r="L363" s="350"/>
      <c r="M363" s="944"/>
      <c r="N363" s="885"/>
      <c r="O363" s="885"/>
      <c r="P363" s="885"/>
      <c r="Q363" s="885"/>
      <c r="R363" s="885"/>
      <c r="S363" s="921"/>
      <c r="T363" s="892"/>
      <c r="U363" s="885"/>
      <c r="V363" s="889"/>
      <c r="W363" s="889"/>
      <c r="X363" s="885"/>
      <c r="Y363" s="892"/>
      <c r="Z363" s="876"/>
      <c r="AA363" s="863"/>
      <c r="AB363" s="863"/>
      <c r="AC363" s="909"/>
      <c r="AM363" s="66"/>
    </row>
    <row r="364" spans="1:39" ht="17.100000000000001" customHeight="1" x14ac:dyDescent="0.3">
      <c r="A364" s="904"/>
      <c r="B364" s="890"/>
      <c r="C364" s="890"/>
      <c r="D364" s="890"/>
      <c r="E364" s="266" t="s">
        <v>562</v>
      </c>
      <c r="F364" s="249">
        <v>0.2097</v>
      </c>
      <c r="G364" s="168">
        <v>10</v>
      </c>
      <c r="H364" s="166">
        <v>46269</v>
      </c>
      <c r="I364" s="169">
        <v>0.85</v>
      </c>
      <c r="J364" s="886"/>
      <c r="K364" s="351"/>
      <c r="L364" s="351"/>
      <c r="M364" s="945"/>
      <c r="N364" s="886"/>
      <c r="O364" s="886"/>
      <c r="P364" s="886"/>
      <c r="Q364" s="886"/>
      <c r="R364" s="886"/>
      <c r="S364" s="946"/>
      <c r="T364" s="904"/>
      <c r="U364" s="886"/>
      <c r="V364" s="890"/>
      <c r="W364" s="890"/>
      <c r="X364" s="886"/>
      <c r="Y364" s="904"/>
      <c r="Z364" s="877"/>
      <c r="AA364" s="864"/>
      <c r="AB364" s="864"/>
      <c r="AC364" s="910"/>
      <c r="AD364" s="67"/>
      <c r="AM364" s="66"/>
    </row>
    <row r="365" spans="1:39" ht="17.100000000000001" customHeight="1" x14ac:dyDescent="0.3">
      <c r="A365" s="884">
        <v>46112</v>
      </c>
      <c r="B365" s="891" t="s">
        <v>878</v>
      </c>
      <c r="C365" s="458" t="s">
        <v>657</v>
      </c>
      <c r="D365" s="891">
        <v>16</v>
      </c>
      <c r="E365" s="170" t="s">
        <v>668</v>
      </c>
      <c r="F365" s="170" t="s">
        <v>478</v>
      </c>
      <c r="G365" s="160">
        <v>10</v>
      </c>
      <c r="H365" s="161">
        <v>46282</v>
      </c>
      <c r="I365" s="162">
        <v>1</v>
      </c>
      <c r="J365" s="952" t="s">
        <v>655</v>
      </c>
      <c r="K365" s="345"/>
      <c r="L365" s="703"/>
      <c r="M365" s="943" t="s">
        <v>713</v>
      </c>
      <c r="N365" s="884">
        <v>45328</v>
      </c>
      <c r="O365" s="884">
        <v>46058</v>
      </c>
      <c r="P365" s="884">
        <v>46788</v>
      </c>
      <c r="Q365" s="887" t="s">
        <v>723</v>
      </c>
      <c r="R365" s="891"/>
      <c r="S365" s="959"/>
      <c r="T365" s="884">
        <v>45338</v>
      </c>
      <c r="U365" s="884"/>
      <c r="V365" s="884">
        <v>46068</v>
      </c>
      <c r="W365" s="884" t="s">
        <v>594</v>
      </c>
      <c r="X365" s="895" t="s">
        <v>887</v>
      </c>
      <c r="Y365" s="884"/>
      <c r="Z365" s="868">
        <v>46084</v>
      </c>
      <c r="AA365" s="893" t="s">
        <v>673</v>
      </c>
      <c r="AB365" s="893" t="s">
        <v>671</v>
      </c>
      <c r="AC365" s="908">
        <v>1000000</v>
      </c>
      <c r="AD365" s="831" t="s">
        <v>1024</v>
      </c>
      <c r="AM365" s="783" t="s">
        <v>929</v>
      </c>
    </row>
    <row r="366" spans="1:39" ht="17.100000000000001" customHeight="1" x14ac:dyDescent="0.3">
      <c r="A366" s="892"/>
      <c r="B366" s="889"/>
      <c r="C366" s="459" t="s">
        <v>657</v>
      </c>
      <c r="D366" s="889"/>
      <c r="E366" s="44" t="s">
        <v>297</v>
      </c>
      <c r="F366" s="243" t="s">
        <v>593</v>
      </c>
      <c r="G366" s="49">
        <v>10</v>
      </c>
      <c r="H366" s="47">
        <v>46282</v>
      </c>
      <c r="I366" s="50">
        <v>0.91</v>
      </c>
      <c r="J366" s="966"/>
      <c r="K366" s="343"/>
      <c r="L366" s="702"/>
      <c r="M366" s="944"/>
      <c r="N366" s="885"/>
      <c r="O366" s="885"/>
      <c r="P366" s="885"/>
      <c r="Q366" s="885"/>
      <c r="R366" s="889"/>
      <c r="S366" s="921"/>
      <c r="T366" s="892"/>
      <c r="U366" s="892"/>
      <c r="V366" s="892"/>
      <c r="W366" s="892"/>
      <c r="X366" s="896"/>
      <c r="Y366" s="892"/>
      <c r="Z366" s="869"/>
      <c r="AA366" s="894"/>
      <c r="AB366" s="894"/>
      <c r="AC366" s="909"/>
      <c r="AD366" s="350"/>
      <c r="AM366" s="66"/>
    </row>
    <row r="367" spans="1:39" ht="17.100000000000001" customHeight="1" x14ac:dyDescent="0.3">
      <c r="A367" s="207">
        <v>46477</v>
      </c>
      <c r="B367" s="42" t="s">
        <v>994</v>
      </c>
      <c r="C367" s="42"/>
      <c r="D367" s="42">
        <v>1</v>
      </c>
      <c r="E367" s="208" t="s">
        <v>596</v>
      </c>
      <c r="F367" s="208"/>
      <c r="G367" s="209"/>
      <c r="H367" s="207"/>
      <c r="I367" s="210"/>
      <c r="J367" s="209"/>
      <c r="K367" s="352"/>
      <c r="L367" s="352"/>
      <c r="M367" s="784" t="s">
        <v>925</v>
      </c>
      <c r="N367" s="207">
        <v>45273</v>
      </c>
      <c r="O367" s="207">
        <v>46003</v>
      </c>
      <c r="P367" s="207">
        <v>46733</v>
      </c>
      <c r="Q367" s="209" t="s">
        <v>286</v>
      </c>
      <c r="R367" s="209"/>
      <c r="S367" s="207"/>
      <c r="T367" s="207">
        <v>45225</v>
      </c>
      <c r="U367" s="207">
        <v>45955</v>
      </c>
      <c r="V367" s="461">
        <v>46685</v>
      </c>
      <c r="W367" s="42"/>
      <c r="X367" s="209"/>
      <c r="Y367" s="207"/>
      <c r="Z367" s="798">
        <v>46062</v>
      </c>
      <c r="AA367" s="732"/>
      <c r="AB367" s="460"/>
      <c r="AC367" s="464">
        <v>1300000</v>
      </c>
      <c r="AD367" s="211" t="s">
        <v>1032</v>
      </c>
      <c r="AM367" s="66"/>
    </row>
    <row r="368" spans="1:39" ht="17.100000000000001" customHeight="1" x14ac:dyDescent="0.3">
      <c r="A368" s="884">
        <v>46142</v>
      </c>
      <c r="B368" s="891" t="s">
        <v>995</v>
      </c>
      <c r="C368" s="891" t="s">
        <v>667</v>
      </c>
      <c r="D368" s="891">
        <v>1</v>
      </c>
      <c r="E368" s="170" t="s">
        <v>669</v>
      </c>
      <c r="F368" s="170" t="s">
        <v>154</v>
      </c>
      <c r="G368" s="160">
        <v>10</v>
      </c>
      <c r="H368" s="161">
        <v>46401</v>
      </c>
      <c r="I368" s="162">
        <v>1</v>
      </c>
      <c r="J368" s="952" t="s">
        <v>724</v>
      </c>
      <c r="K368" s="345"/>
      <c r="L368" s="819"/>
      <c r="M368" s="943" t="s">
        <v>714</v>
      </c>
      <c r="N368" s="884">
        <v>45391</v>
      </c>
      <c r="O368" s="884"/>
      <c r="P368" s="884">
        <v>46120</v>
      </c>
      <c r="Q368" s="1212" t="s">
        <v>674</v>
      </c>
      <c r="R368" s="1212" t="s">
        <v>1012</v>
      </c>
      <c r="S368" s="1210" t="s">
        <v>1014</v>
      </c>
      <c r="T368" s="884">
        <v>45362</v>
      </c>
      <c r="U368" s="884"/>
      <c r="V368" s="888">
        <v>46091</v>
      </c>
      <c r="W368" s="891" t="s">
        <v>285</v>
      </c>
      <c r="X368" s="1212" t="s">
        <v>1013</v>
      </c>
      <c r="Y368" s="884"/>
      <c r="Z368" s="897">
        <v>46077</v>
      </c>
      <c r="AA368" s="862" t="s">
        <v>353</v>
      </c>
      <c r="AB368" s="862" t="s">
        <v>672</v>
      </c>
      <c r="AC368" s="908">
        <v>1500000</v>
      </c>
      <c r="AD368" s="171"/>
      <c r="AM368" s="66"/>
    </row>
    <row r="369" spans="1:39" ht="17.100000000000001" customHeight="1" x14ac:dyDescent="0.3">
      <c r="A369" s="892"/>
      <c r="B369" s="902"/>
      <c r="C369" s="902"/>
      <c r="D369" s="902"/>
      <c r="E369" s="44" t="s">
        <v>670</v>
      </c>
      <c r="F369" s="243" t="s">
        <v>675</v>
      </c>
      <c r="G369" s="49">
        <v>10</v>
      </c>
      <c r="H369" s="47">
        <v>46401</v>
      </c>
      <c r="I369" s="50">
        <v>0.98</v>
      </c>
      <c r="J369" s="966"/>
      <c r="K369" s="343"/>
      <c r="L369" s="820"/>
      <c r="M369" s="1228"/>
      <c r="N369" s="912"/>
      <c r="O369" s="912"/>
      <c r="P369" s="912"/>
      <c r="Q369" s="1213"/>
      <c r="R369" s="1213"/>
      <c r="S369" s="1211"/>
      <c r="T369" s="912"/>
      <c r="U369" s="912"/>
      <c r="V369" s="954"/>
      <c r="W369" s="902"/>
      <c r="X369" s="1213"/>
      <c r="Y369" s="912"/>
      <c r="Z369" s="876"/>
      <c r="AA369" s="863"/>
      <c r="AB369" s="863"/>
      <c r="AC369" s="909"/>
      <c r="AD369" s="67"/>
      <c r="AM369" s="66"/>
    </row>
    <row r="370" spans="1:39" ht="17.100000000000001" customHeight="1" x14ac:dyDescent="0.3">
      <c r="A370" s="892"/>
      <c r="B370" s="889" t="s">
        <v>784</v>
      </c>
      <c r="C370" s="889" t="s">
        <v>8</v>
      </c>
      <c r="D370" s="889">
        <v>2</v>
      </c>
      <c r="E370" s="44" t="s">
        <v>4</v>
      </c>
      <c r="F370" s="44" t="s">
        <v>154</v>
      </c>
      <c r="G370" s="609">
        <v>10</v>
      </c>
      <c r="H370" s="608">
        <v>46269</v>
      </c>
      <c r="I370" s="46">
        <v>1</v>
      </c>
      <c r="J370" s="966"/>
      <c r="K370" s="341"/>
      <c r="L370" s="677"/>
      <c r="M370" s="944" t="s">
        <v>714</v>
      </c>
      <c r="N370" s="892">
        <v>45680</v>
      </c>
      <c r="O370" s="892"/>
      <c r="P370" s="892">
        <v>46409</v>
      </c>
      <c r="Q370" s="885" t="s">
        <v>285</v>
      </c>
      <c r="R370" s="885"/>
      <c r="S370" s="892"/>
      <c r="T370" s="892">
        <v>45603</v>
      </c>
      <c r="U370" s="892"/>
      <c r="V370" s="921">
        <v>46332</v>
      </c>
      <c r="W370" s="889" t="s">
        <v>785</v>
      </c>
      <c r="X370" s="885"/>
      <c r="Y370" s="892"/>
      <c r="Z370" s="876"/>
      <c r="AA370" s="863"/>
      <c r="AB370" s="863"/>
      <c r="AC370" s="909"/>
      <c r="AD370" s="171"/>
      <c r="AM370" s="66"/>
    </row>
    <row r="371" spans="1:39" ht="17.100000000000001" customHeight="1" x14ac:dyDescent="0.3">
      <c r="A371" s="904"/>
      <c r="B371" s="890"/>
      <c r="C371" s="890"/>
      <c r="D371" s="890"/>
      <c r="E371" s="266" t="s">
        <v>189</v>
      </c>
      <c r="F371" s="242" t="s">
        <v>240</v>
      </c>
      <c r="G371" s="168">
        <v>10</v>
      </c>
      <c r="H371" s="166">
        <v>46269</v>
      </c>
      <c r="I371" s="169">
        <v>0.99</v>
      </c>
      <c r="J371" s="953"/>
      <c r="K371" s="344"/>
      <c r="L371" s="679"/>
      <c r="M371" s="945"/>
      <c r="N371" s="904"/>
      <c r="O371" s="904"/>
      <c r="P371" s="904"/>
      <c r="Q371" s="886"/>
      <c r="R371" s="886"/>
      <c r="S371" s="904"/>
      <c r="T371" s="904"/>
      <c r="U371" s="904"/>
      <c r="V371" s="946"/>
      <c r="W371" s="890"/>
      <c r="X371" s="886"/>
      <c r="Y371" s="904"/>
      <c r="Z371" s="877"/>
      <c r="AA371" s="864"/>
      <c r="AB371" s="864"/>
      <c r="AC371" s="910"/>
      <c r="AD371" s="67"/>
      <c r="AM371" s="66"/>
    </row>
    <row r="372" spans="1:39" ht="17.100000000000001" customHeight="1" x14ac:dyDescent="0.3">
      <c r="A372" s="884">
        <v>46387</v>
      </c>
      <c r="B372" s="891" t="s">
        <v>1008</v>
      </c>
      <c r="C372" s="913" t="s">
        <v>728</v>
      </c>
      <c r="D372" s="891">
        <v>6</v>
      </c>
      <c r="E372" s="170" t="s">
        <v>668</v>
      </c>
      <c r="F372" s="170" t="s">
        <v>478</v>
      </c>
      <c r="G372" s="160">
        <v>10</v>
      </c>
      <c r="H372" s="161">
        <v>46072</v>
      </c>
      <c r="I372" s="162">
        <v>0.85</v>
      </c>
      <c r="J372" s="887"/>
      <c r="K372" s="614" t="s">
        <v>866</v>
      </c>
      <c r="L372" s="615">
        <v>46059</v>
      </c>
      <c r="M372" s="968" t="s">
        <v>725</v>
      </c>
      <c r="N372" s="884">
        <v>45544</v>
      </c>
      <c r="O372" s="887"/>
      <c r="P372" s="884">
        <v>46273</v>
      </c>
      <c r="Q372" s="887" t="s">
        <v>726</v>
      </c>
      <c r="R372" s="887"/>
      <c r="S372" s="884"/>
      <c r="T372" s="884">
        <v>45175</v>
      </c>
      <c r="U372" s="884">
        <v>45905</v>
      </c>
      <c r="V372" s="888">
        <v>46635</v>
      </c>
      <c r="W372" s="891" t="s">
        <v>726</v>
      </c>
      <c r="X372" s="887"/>
      <c r="Y372" s="884"/>
      <c r="Z372" s="868"/>
      <c r="AA372" s="862" t="s">
        <v>733</v>
      </c>
      <c r="AB372" s="862" t="s">
        <v>552</v>
      </c>
      <c r="AC372" s="898"/>
      <c r="AD372" s="165"/>
      <c r="AM372" s="66"/>
    </row>
    <row r="373" spans="1:39" ht="17.100000000000001" customHeight="1" x14ac:dyDescent="0.3">
      <c r="A373" s="892"/>
      <c r="B373" s="889"/>
      <c r="C373" s="889"/>
      <c r="D373" s="889"/>
      <c r="E373" s="562" t="s">
        <v>729</v>
      </c>
      <c r="F373" s="243" t="s">
        <v>730</v>
      </c>
      <c r="G373" s="49">
        <v>10</v>
      </c>
      <c r="H373" s="47">
        <v>46210</v>
      </c>
      <c r="I373" s="50">
        <v>1</v>
      </c>
      <c r="J373" s="885"/>
      <c r="K373" s="343"/>
      <c r="L373" s="763"/>
      <c r="M373" s="970"/>
      <c r="N373" s="885"/>
      <c r="O373" s="885"/>
      <c r="P373" s="885"/>
      <c r="Q373" s="885"/>
      <c r="R373" s="885"/>
      <c r="S373" s="892"/>
      <c r="T373" s="892"/>
      <c r="U373" s="892"/>
      <c r="V373" s="889"/>
      <c r="W373" s="889"/>
      <c r="X373" s="885"/>
      <c r="Y373" s="892"/>
      <c r="Z373" s="869"/>
      <c r="AA373" s="863"/>
      <c r="AB373" s="863"/>
      <c r="AC373" s="899"/>
      <c r="AM373" s="66"/>
    </row>
    <row r="374" spans="1:39" ht="17.100000000000001" customHeight="1" x14ac:dyDescent="0.3">
      <c r="A374" s="892"/>
      <c r="B374" s="889"/>
      <c r="C374" s="889"/>
      <c r="D374" s="889"/>
      <c r="E374" s="558" t="s">
        <v>184</v>
      </c>
      <c r="F374" s="447">
        <v>0.21010000000000001</v>
      </c>
      <c r="G374" s="448">
        <v>10</v>
      </c>
      <c r="H374" s="449">
        <v>46073</v>
      </c>
      <c r="I374" s="450">
        <v>0.75</v>
      </c>
      <c r="J374" s="885"/>
      <c r="K374" s="614" t="s">
        <v>866</v>
      </c>
      <c r="L374" s="615">
        <v>46059</v>
      </c>
      <c r="M374" s="970"/>
      <c r="N374" s="885"/>
      <c r="O374" s="885"/>
      <c r="P374" s="885"/>
      <c r="Q374" s="885"/>
      <c r="R374" s="885"/>
      <c r="S374" s="892"/>
      <c r="T374" s="892"/>
      <c r="U374" s="892"/>
      <c r="V374" s="889"/>
      <c r="W374" s="889"/>
      <c r="X374" s="885"/>
      <c r="Y374" s="892"/>
      <c r="Z374" s="869"/>
      <c r="AA374" s="863"/>
      <c r="AB374" s="863"/>
      <c r="AC374" s="899"/>
      <c r="AM374" s="66"/>
    </row>
    <row r="375" spans="1:39" ht="17.100000000000001" customHeight="1" x14ac:dyDescent="0.3">
      <c r="A375" s="892"/>
      <c r="B375" s="889"/>
      <c r="C375" s="889"/>
      <c r="D375" s="947">
        <v>7</v>
      </c>
      <c r="E375" s="559" t="s">
        <v>668</v>
      </c>
      <c r="F375" s="559" t="s">
        <v>478</v>
      </c>
      <c r="G375" s="545">
        <v>10</v>
      </c>
      <c r="H375" s="560">
        <v>46072</v>
      </c>
      <c r="I375" s="561">
        <v>0.85</v>
      </c>
      <c r="J375" s="885"/>
      <c r="K375" s="614" t="s">
        <v>866</v>
      </c>
      <c r="L375" s="615">
        <v>46059</v>
      </c>
      <c r="M375" s="970"/>
      <c r="N375" s="885"/>
      <c r="O375" s="885"/>
      <c r="P375" s="885"/>
      <c r="Q375" s="885"/>
      <c r="R375" s="885"/>
      <c r="S375" s="892"/>
      <c r="T375" s="892"/>
      <c r="U375" s="892"/>
      <c r="V375" s="889"/>
      <c r="W375" s="889"/>
      <c r="X375" s="885"/>
      <c r="Y375" s="892"/>
      <c r="Z375" s="869"/>
      <c r="AA375" s="863"/>
      <c r="AB375" s="863"/>
      <c r="AC375" s="899"/>
      <c r="AM375" s="66"/>
    </row>
    <row r="376" spans="1:39" ht="17.100000000000001" customHeight="1" x14ac:dyDescent="0.3">
      <c r="A376" s="892"/>
      <c r="B376" s="889"/>
      <c r="C376" s="889"/>
      <c r="D376" s="889"/>
      <c r="E376" s="562" t="s">
        <v>729</v>
      </c>
      <c r="F376" s="243" t="s">
        <v>730</v>
      </c>
      <c r="G376" s="49">
        <v>10</v>
      </c>
      <c r="H376" s="47">
        <v>46210</v>
      </c>
      <c r="I376" s="50">
        <v>1</v>
      </c>
      <c r="J376" s="885"/>
      <c r="K376" s="772"/>
      <c r="L376" s="763"/>
      <c r="M376" s="970"/>
      <c r="N376" s="885"/>
      <c r="O376" s="885"/>
      <c r="P376" s="885"/>
      <c r="Q376" s="885"/>
      <c r="R376" s="885"/>
      <c r="S376" s="892"/>
      <c r="T376" s="892"/>
      <c r="U376" s="892"/>
      <c r="V376" s="889"/>
      <c r="W376" s="889"/>
      <c r="X376" s="885"/>
      <c r="Y376" s="892"/>
      <c r="Z376" s="869"/>
      <c r="AA376" s="863"/>
      <c r="AB376" s="863"/>
      <c r="AC376" s="899"/>
      <c r="AM376" s="66"/>
    </row>
    <row r="377" spans="1:39" ht="17.100000000000001" customHeight="1" x14ac:dyDescent="0.3">
      <c r="A377" s="892"/>
      <c r="B377" s="889"/>
      <c r="C377" s="890"/>
      <c r="D377" s="890"/>
      <c r="E377" s="266" t="s">
        <v>184</v>
      </c>
      <c r="F377" s="249">
        <v>0.21060000000000001</v>
      </c>
      <c r="G377" s="168">
        <v>10</v>
      </c>
      <c r="H377" s="166">
        <v>46073</v>
      </c>
      <c r="I377" s="169">
        <v>0.71</v>
      </c>
      <c r="J377" s="886"/>
      <c r="K377" s="730" t="s">
        <v>909</v>
      </c>
      <c r="L377" s="731">
        <v>46059</v>
      </c>
      <c r="M377" s="970"/>
      <c r="N377" s="886"/>
      <c r="O377" s="886"/>
      <c r="P377" s="886"/>
      <c r="Q377" s="886"/>
      <c r="R377" s="886"/>
      <c r="S377" s="904"/>
      <c r="T377" s="904"/>
      <c r="U377" s="904"/>
      <c r="V377" s="890"/>
      <c r="W377" s="890"/>
      <c r="X377" s="886"/>
      <c r="Y377" s="904"/>
      <c r="Z377" s="870"/>
      <c r="AA377" s="864"/>
      <c r="AB377" s="864"/>
      <c r="AC377" s="900"/>
      <c r="AM377" s="66"/>
    </row>
    <row r="378" spans="1:39" ht="17.100000000000001" customHeight="1" x14ac:dyDescent="0.3">
      <c r="A378" s="892"/>
      <c r="B378" s="889"/>
      <c r="C378" s="913" t="s">
        <v>727</v>
      </c>
      <c r="D378" s="891">
        <v>8</v>
      </c>
      <c r="E378" s="170" t="s">
        <v>668</v>
      </c>
      <c r="F378" s="170" t="s">
        <v>478</v>
      </c>
      <c r="G378" s="160">
        <v>10</v>
      </c>
      <c r="H378" s="161">
        <v>46072</v>
      </c>
      <c r="I378" s="162">
        <v>0.99</v>
      </c>
      <c r="J378" s="887" t="s">
        <v>799</v>
      </c>
      <c r="K378" s="614" t="s">
        <v>866</v>
      </c>
      <c r="L378" s="615">
        <v>46059</v>
      </c>
      <c r="M378" s="970"/>
      <c r="N378" s="884">
        <v>45544</v>
      </c>
      <c r="O378" s="887"/>
      <c r="P378" s="884">
        <v>46273</v>
      </c>
      <c r="Q378" s="887" t="s">
        <v>726</v>
      </c>
      <c r="R378" s="887"/>
      <c r="S378" s="884"/>
      <c r="T378" s="884">
        <v>45175</v>
      </c>
      <c r="U378" s="887" t="s">
        <v>826</v>
      </c>
      <c r="V378" s="888" t="s">
        <v>827</v>
      </c>
      <c r="W378" s="891" t="s">
        <v>726</v>
      </c>
      <c r="X378" s="887"/>
      <c r="Y378" s="884" t="s">
        <v>803</v>
      </c>
      <c r="Z378" s="868"/>
      <c r="AA378" s="911" t="s">
        <v>732</v>
      </c>
      <c r="AB378" s="862" t="s">
        <v>734</v>
      </c>
      <c r="AC378" s="898"/>
      <c r="AD378" s="165"/>
      <c r="AM378" s="66"/>
    </row>
    <row r="379" spans="1:39" ht="17.100000000000001" customHeight="1" x14ac:dyDescent="0.3">
      <c r="A379" s="892"/>
      <c r="B379" s="889"/>
      <c r="C379" s="889"/>
      <c r="D379" s="889"/>
      <c r="E379" s="562" t="s">
        <v>729</v>
      </c>
      <c r="F379" s="243" t="s">
        <v>730</v>
      </c>
      <c r="G379" s="49">
        <v>10</v>
      </c>
      <c r="H379" s="47">
        <v>46045</v>
      </c>
      <c r="I379" s="50">
        <v>0.9</v>
      </c>
      <c r="J379" s="885"/>
      <c r="K379" s="614" t="s">
        <v>910</v>
      </c>
      <c r="L379" s="615">
        <v>46059</v>
      </c>
      <c r="M379" s="970"/>
      <c r="N379" s="885"/>
      <c r="O379" s="885"/>
      <c r="P379" s="885"/>
      <c r="Q379" s="885"/>
      <c r="R379" s="885"/>
      <c r="S379" s="892"/>
      <c r="T379" s="892"/>
      <c r="U379" s="885"/>
      <c r="V379" s="889"/>
      <c r="W379" s="889"/>
      <c r="X379" s="885"/>
      <c r="Y379" s="892"/>
      <c r="Z379" s="869"/>
      <c r="AA379" s="919"/>
      <c r="AB379" s="863"/>
      <c r="AC379" s="899"/>
      <c r="AM379" s="66"/>
    </row>
    <row r="380" spans="1:39" ht="17.100000000000001" customHeight="1" x14ac:dyDescent="0.3">
      <c r="A380" s="892"/>
      <c r="B380" s="889"/>
      <c r="C380" s="889"/>
      <c r="D380" s="889"/>
      <c r="E380" s="558" t="s">
        <v>184</v>
      </c>
      <c r="F380" s="447">
        <v>0.21010000000000001</v>
      </c>
      <c r="G380" s="448">
        <v>10</v>
      </c>
      <c r="H380" s="449">
        <v>46073</v>
      </c>
      <c r="I380" s="450">
        <v>1</v>
      </c>
      <c r="J380" s="885"/>
      <c r="K380" s="614" t="s">
        <v>866</v>
      </c>
      <c r="L380" s="615">
        <v>46059</v>
      </c>
      <c r="M380" s="970"/>
      <c r="N380" s="885"/>
      <c r="O380" s="885"/>
      <c r="P380" s="885"/>
      <c r="Q380" s="885"/>
      <c r="R380" s="885"/>
      <c r="S380" s="892"/>
      <c r="T380" s="892"/>
      <c r="U380" s="885"/>
      <c r="V380" s="889"/>
      <c r="W380" s="889"/>
      <c r="X380" s="885"/>
      <c r="Y380" s="892"/>
      <c r="Z380" s="869"/>
      <c r="AA380" s="919"/>
      <c r="AB380" s="863"/>
      <c r="AC380" s="899"/>
      <c r="AM380" s="66"/>
    </row>
    <row r="381" spans="1:39" ht="17.100000000000001" customHeight="1" x14ac:dyDescent="0.3">
      <c r="A381" s="892"/>
      <c r="B381" s="889"/>
      <c r="C381" s="889"/>
      <c r="D381" s="947">
        <v>9</v>
      </c>
      <c r="E381" s="559" t="s">
        <v>455</v>
      </c>
      <c r="F381" s="559" t="s">
        <v>478</v>
      </c>
      <c r="G381" s="545">
        <v>10</v>
      </c>
      <c r="H381" s="560">
        <v>46072</v>
      </c>
      <c r="I381" s="561">
        <v>0.99</v>
      </c>
      <c r="J381" s="885"/>
      <c r="K381" s="614" t="s">
        <v>866</v>
      </c>
      <c r="L381" s="615">
        <v>46059</v>
      </c>
      <c r="M381" s="970"/>
      <c r="N381" s="885"/>
      <c r="O381" s="885"/>
      <c r="P381" s="885"/>
      <c r="Q381" s="885"/>
      <c r="R381" s="885"/>
      <c r="S381" s="892"/>
      <c r="T381" s="892"/>
      <c r="U381" s="885"/>
      <c r="V381" s="889"/>
      <c r="W381" s="889"/>
      <c r="X381" s="885"/>
      <c r="Y381" s="892"/>
      <c r="Z381" s="869"/>
      <c r="AA381" s="919"/>
      <c r="AB381" s="863"/>
      <c r="AC381" s="899"/>
      <c r="AM381" s="66"/>
    </row>
    <row r="382" spans="1:39" ht="17.100000000000001" customHeight="1" x14ac:dyDescent="0.3">
      <c r="A382" s="892"/>
      <c r="B382" s="889"/>
      <c r="C382" s="889"/>
      <c r="D382" s="889"/>
      <c r="E382" s="562" t="s">
        <v>729</v>
      </c>
      <c r="F382" s="243" t="s">
        <v>730</v>
      </c>
      <c r="G382" s="49">
        <v>10</v>
      </c>
      <c r="H382" s="47">
        <v>46045</v>
      </c>
      <c r="I382" s="50">
        <v>0.9</v>
      </c>
      <c r="J382" s="885"/>
      <c r="K382" s="614" t="s">
        <v>891</v>
      </c>
      <c r="L382" s="615">
        <v>46059</v>
      </c>
      <c r="M382" s="970"/>
      <c r="N382" s="885"/>
      <c r="O382" s="885"/>
      <c r="P382" s="885"/>
      <c r="Q382" s="885"/>
      <c r="R382" s="885"/>
      <c r="S382" s="892"/>
      <c r="T382" s="892"/>
      <c r="U382" s="885"/>
      <c r="V382" s="889"/>
      <c r="W382" s="889"/>
      <c r="X382" s="885"/>
      <c r="Y382" s="892"/>
      <c r="Z382" s="869"/>
      <c r="AA382" s="919"/>
      <c r="AB382" s="863"/>
      <c r="AC382" s="899"/>
      <c r="AM382" s="66"/>
    </row>
    <row r="383" spans="1:39" ht="17.100000000000001" customHeight="1" x14ac:dyDescent="0.3">
      <c r="A383" s="904"/>
      <c r="B383" s="890"/>
      <c r="C383" s="890"/>
      <c r="D383" s="890"/>
      <c r="E383" s="266" t="s">
        <v>184</v>
      </c>
      <c r="F383" s="249">
        <v>0.21010000000000001</v>
      </c>
      <c r="G383" s="168">
        <v>10</v>
      </c>
      <c r="H383" s="166">
        <v>46073</v>
      </c>
      <c r="I383" s="169">
        <v>0.99</v>
      </c>
      <c r="J383" s="886"/>
      <c r="K383" s="730" t="s">
        <v>909</v>
      </c>
      <c r="L383" s="731">
        <v>46059</v>
      </c>
      <c r="M383" s="969"/>
      <c r="N383" s="886"/>
      <c r="O383" s="886"/>
      <c r="P383" s="886"/>
      <c r="Q383" s="886"/>
      <c r="R383" s="886"/>
      <c r="S383" s="904"/>
      <c r="T383" s="904"/>
      <c r="U383" s="886"/>
      <c r="V383" s="890"/>
      <c r="W383" s="890"/>
      <c r="X383" s="886"/>
      <c r="Y383" s="904"/>
      <c r="Z383" s="870"/>
      <c r="AA383" s="920"/>
      <c r="AB383" s="864"/>
      <c r="AC383" s="900"/>
      <c r="AD383" s="67"/>
      <c r="AM383" s="66"/>
    </row>
    <row r="384" spans="1:39" ht="17.100000000000001" customHeight="1" x14ac:dyDescent="0.3">
      <c r="A384" s="884">
        <v>46387</v>
      </c>
      <c r="B384" s="891" t="s">
        <v>879</v>
      </c>
      <c r="C384" s="891" t="s">
        <v>708</v>
      </c>
      <c r="D384" s="891">
        <v>1</v>
      </c>
      <c r="E384" s="170" t="s">
        <v>182</v>
      </c>
      <c r="F384" s="170" t="s">
        <v>1</v>
      </c>
      <c r="G384" s="160">
        <v>10</v>
      </c>
      <c r="H384" s="161">
        <v>46233</v>
      </c>
      <c r="I384" s="162">
        <v>0.99</v>
      </c>
      <c r="J384" s="952" t="s">
        <v>833</v>
      </c>
      <c r="K384" s="345"/>
      <c r="L384" s="673"/>
      <c r="M384" s="943" t="s">
        <v>731</v>
      </c>
      <c r="N384" s="884">
        <v>45817</v>
      </c>
      <c r="O384" s="887"/>
      <c r="P384" s="884">
        <v>46546</v>
      </c>
      <c r="Q384" s="887" t="s">
        <v>789</v>
      </c>
      <c r="R384" s="887"/>
      <c r="S384" s="884"/>
      <c r="T384" s="884">
        <v>45840</v>
      </c>
      <c r="U384" s="887"/>
      <c r="V384" s="888">
        <v>46569</v>
      </c>
      <c r="W384" s="891"/>
      <c r="X384" s="887"/>
      <c r="Y384" s="884" t="s">
        <v>790</v>
      </c>
      <c r="Z384" s="868">
        <v>46072</v>
      </c>
      <c r="AA384" s="862" t="s">
        <v>745</v>
      </c>
      <c r="AB384" s="865"/>
      <c r="AC384" s="859">
        <v>1370000</v>
      </c>
      <c r="AD384" s="165"/>
      <c r="AM384" s="327" t="s">
        <v>863</v>
      </c>
    </row>
    <row r="385" spans="1:39" ht="17.100000000000001" customHeight="1" x14ac:dyDescent="0.3">
      <c r="A385" s="892"/>
      <c r="B385" s="889"/>
      <c r="C385" s="889"/>
      <c r="D385" s="889"/>
      <c r="E385" s="44" t="s">
        <v>109</v>
      </c>
      <c r="F385" s="243" t="s">
        <v>240</v>
      </c>
      <c r="G385" s="49">
        <v>10</v>
      </c>
      <c r="H385" s="47">
        <v>46233</v>
      </c>
      <c r="I385" s="50">
        <v>0.89</v>
      </c>
      <c r="J385" s="966"/>
      <c r="K385" s="343"/>
      <c r="L385" s="674"/>
      <c r="M385" s="944"/>
      <c r="N385" s="885"/>
      <c r="O385" s="885"/>
      <c r="P385" s="885"/>
      <c r="Q385" s="885"/>
      <c r="R385" s="885"/>
      <c r="S385" s="892"/>
      <c r="T385" s="892"/>
      <c r="U385" s="885"/>
      <c r="V385" s="889"/>
      <c r="W385" s="889"/>
      <c r="X385" s="885"/>
      <c r="Y385" s="892"/>
      <c r="Z385" s="869"/>
      <c r="AA385" s="863"/>
      <c r="AB385" s="866"/>
      <c r="AC385" s="860"/>
      <c r="AM385" s="66"/>
    </row>
    <row r="386" spans="1:39" ht="17.100000000000001" customHeight="1" x14ac:dyDescent="0.3">
      <c r="A386" s="904"/>
      <c r="B386" s="890"/>
      <c r="C386" s="890"/>
      <c r="D386" s="890"/>
      <c r="E386" s="816" t="s">
        <v>184</v>
      </c>
      <c r="F386" s="817">
        <v>0.2102</v>
      </c>
      <c r="G386" s="818">
        <v>10</v>
      </c>
      <c r="H386" s="166" t="s">
        <v>968</v>
      </c>
      <c r="I386" s="169"/>
      <c r="J386" s="953"/>
      <c r="K386" s="351"/>
      <c r="L386" s="351"/>
      <c r="M386" s="945"/>
      <c r="N386" s="886"/>
      <c r="O386" s="886"/>
      <c r="P386" s="886"/>
      <c r="Q386" s="886"/>
      <c r="R386" s="886"/>
      <c r="S386" s="904"/>
      <c r="T386" s="904"/>
      <c r="U386" s="886"/>
      <c r="V386" s="890"/>
      <c r="W386" s="890"/>
      <c r="X386" s="886"/>
      <c r="Y386" s="904"/>
      <c r="Z386" s="870"/>
      <c r="AA386" s="864"/>
      <c r="AB386" s="867"/>
      <c r="AC386" s="861"/>
      <c r="AD386" s="67"/>
      <c r="AM386" s="66"/>
    </row>
    <row r="387" spans="1:39" ht="17.100000000000001" customHeight="1" x14ac:dyDescent="0.3">
      <c r="A387" s="884">
        <v>46104</v>
      </c>
      <c r="B387" s="891" t="s">
        <v>1009</v>
      </c>
      <c r="C387" s="891"/>
      <c r="D387" s="891">
        <v>1</v>
      </c>
      <c r="E387" s="170" t="s">
        <v>182</v>
      </c>
      <c r="F387" s="170"/>
      <c r="G387" s="160">
        <v>10</v>
      </c>
      <c r="H387" s="161">
        <v>45344</v>
      </c>
      <c r="I387" s="162"/>
      <c r="J387" s="887" t="s">
        <v>908</v>
      </c>
      <c r="K387" s="348"/>
      <c r="L387" s="348"/>
      <c r="M387" s="948" t="s">
        <v>922</v>
      </c>
      <c r="N387" s="884">
        <v>45723</v>
      </c>
      <c r="O387" s="887"/>
      <c r="P387" s="884">
        <v>46452</v>
      </c>
      <c r="Q387" s="887" t="s">
        <v>748</v>
      </c>
      <c r="R387" s="887"/>
      <c r="S387" s="884"/>
      <c r="T387" s="884">
        <v>45086</v>
      </c>
      <c r="U387" s="884">
        <v>45816</v>
      </c>
      <c r="V387" s="888">
        <v>46546</v>
      </c>
      <c r="W387" s="891" t="s">
        <v>747</v>
      </c>
      <c r="X387" s="914"/>
      <c r="Y387" s="884"/>
      <c r="Z387" s="868"/>
      <c r="AA387" s="862" t="s">
        <v>746</v>
      </c>
      <c r="AB387" s="862" t="s">
        <v>744</v>
      </c>
      <c r="AC387" s="859">
        <f>12715900/13</f>
        <v>978146.15384615387</v>
      </c>
      <c r="AD387" s="171"/>
      <c r="AM387" s="66"/>
    </row>
    <row r="388" spans="1:39" ht="17.100000000000001" customHeight="1" x14ac:dyDescent="0.3">
      <c r="A388" s="892"/>
      <c r="B388" s="889"/>
      <c r="C388" s="889"/>
      <c r="D388" s="889"/>
      <c r="E388" s="44" t="s">
        <v>131</v>
      </c>
      <c r="G388" s="49">
        <v>10</v>
      </c>
      <c r="H388" s="47">
        <v>45988</v>
      </c>
      <c r="J388" s="885"/>
      <c r="K388" s="665"/>
      <c r="L388" s="350"/>
      <c r="M388" s="949"/>
      <c r="N388" s="885"/>
      <c r="O388" s="885"/>
      <c r="P388" s="885"/>
      <c r="Q388" s="885"/>
      <c r="R388" s="885"/>
      <c r="S388" s="892"/>
      <c r="T388" s="892"/>
      <c r="U388" s="885"/>
      <c r="V388" s="889"/>
      <c r="W388" s="889"/>
      <c r="X388" s="885"/>
      <c r="Y388" s="892"/>
      <c r="Z388" s="869"/>
      <c r="AA388" s="863"/>
      <c r="AB388" s="863"/>
      <c r="AC388" s="860"/>
      <c r="AM388" s="66"/>
    </row>
    <row r="389" spans="1:39" ht="17.100000000000001" customHeight="1" x14ac:dyDescent="0.3">
      <c r="A389" s="904"/>
      <c r="B389" s="890"/>
      <c r="C389" s="890"/>
      <c r="D389" s="890"/>
      <c r="E389" s="167" t="s">
        <v>184</v>
      </c>
      <c r="F389" s="167"/>
      <c r="G389" s="168">
        <v>10</v>
      </c>
      <c r="H389" s="166">
        <v>45988</v>
      </c>
      <c r="I389" s="169"/>
      <c r="J389" s="886"/>
      <c r="K389" s="509"/>
      <c r="L389" s="351"/>
      <c r="M389" s="950"/>
      <c r="N389" s="886"/>
      <c r="O389" s="886"/>
      <c r="P389" s="886"/>
      <c r="Q389" s="886"/>
      <c r="R389" s="886"/>
      <c r="S389" s="904"/>
      <c r="T389" s="904"/>
      <c r="U389" s="886"/>
      <c r="V389" s="890"/>
      <c r="W389" s="890"/>
      <c r="X389" s="886"/>
      <c r="Y389" s="904"/>
      <c r="Z389" s="870"/>
      <c r="AA389" s="864"/>
      <c r="AB389" s="864"/>
      <c r="AC389" s="861"/>
      <c r="AD389" s="67"/>
      <c r="AM389" s="66"/>
    </row>
    <row r="390" spans="1:39" s="10" customFormat="1" ht="16.5" customHeight="1" x14ac:dyDescent="0.3">
      <c r="A390" s="936">
        <v>46265</v>
      </c>
      <c r="B390" s="922" t="s">
        <v>880</v>
      </c>
      <c r="C390" s="926" t="s">
        <v>39</v>
      </c>
      <c r="D390" s="922" t="s">
        <v>821</v>
      </c>
      <c r="E390" s="19" t="s">
        <v>49</v>
      </c>
      <c r="F390" s="224" t="s">
        <v>50</v>
      </c>
      <c r="G390" s="656">
        <v>10</v>
      </c>
      <c r="H390" s="659">
        <v>45995</v>
      </c>
      <c r="I390" s="7">
        <v>1</v>
      </c>
      <c r="J390" s="942" t="s">
        <v>347</v>
      </c>
      <c r="K390" s="345"/>
      <c r="L390" s="661"/>
      <c r="M390" s="943" t="s">
        <v>406</v>
      </c>
      <c r="N390" s="871">
        <v>44617</v>
      </c>
      <c r="O390" s="871">
        <v>45346</v>
      </c>
      <c r="P390" s="871">
        <v>46077</v>
      </c>
      <c r="Q390" s="888" t="s">
        <v>286</v>
      </c>
      <c r="R390" s="888"/>
      <c r="S390" s="922"/>
      <c r="T390" s="871">
        <v>44595</v>
      </c>
      <c r="U390" s="871">
        <v>45173</v>
      </c>
      <c r="V390" s="871">
        <v>45903</v>
      </c>
      <c r="W390" s="871" t="s">
        <v>286</v>
      </c>
      <c r="X390" s="888"/>
      <c r="Y390" s="871"/>
      <c r="Z390" s="875">
        <v>46014</v>
      </c>
      <c r="AA390" s="878" t="s">
        <v>822</v>
      </c>
      <c r="AB390" s="878"/>
      <c r="AC390" s="881">
        <v>1000000</v>
      </c>
      <c r="AD390" s="56"/>
      <c r="AE390" s="78"/>
      <c r="AF390" s="57"/>
      <c r="AG390" s="9"/>
      <c r="AH390" s="928"/>
      <c r="AI390" s="915"/>
      <c r="AJ390" s="916"/>
      <c r="AK390" s="915"/>
      <c r="AL390" s="933"/>
      <c r="AM390" s="326" t="s">
        <v>379</v>
      </c>
    </row>
    <row r="391" spans="1:39" s="10" customFormat="1" ht="17.100000000000001" customHeight="1" x14ac:dyDescent="0.3">
      <c r="A391" s="937"/>
      <c r="B391" s="927"/>
      <c r="C391" s="927"/>
      <c r="D391" s="927"/>
      <c r="E391" s="20" t="s">
        <v>546</v>
      </c>
      <c r="F391" s="243" t="s">
        <v>241</v>
      </c>
      <c r="G391" s="657">
        <v>10</v>
      </c>
      <c r="H391" s="658">
        <v>46086</v>
      </c>
      <c r="I391" s="30">
        <v>1</v>
      </c>
      <c r="J391" s="927"/>
      <c r="K391" s="343"/>
      <c r="L391" s="662"/>
      <c r="M391" s="944"/>
      <c r="N391" s="872"/>
      <c r="O391" s="872"/>
      <c r="P391" s="872"/>
      <c r="Q391" s="921"/>
      <c r="R391" s="921"/>
      <c r="S391" s="927"/>
      <c r="T391" s="872"/>
      <c r="U391" s="872"/>
      <c r="V391" s="872"/>
      <c r="W391" s="872"/>
      <c r="X391" s="921"/>
      <c r="Y391" s="872"/>
      <c r="Z391" s="876"/>
      <c r="AA391" s="879"/>
      <c r="AB391" s="879"/>
      <c r="AC391" s="882"/>
      <c r="AD391" s="58"/>
      <c r="AE391" s="79"/>
      <c r="AF391" s="59"/>
      <c r="AG391" s="9"/>
      <c r="AH391" s="928"/>
      <c r="AI391" s="915"/>
      <c r="AJ391" s="917"/>
      <c r="AK391" s="915"/>
      <c r="AL391" s="933"/>
      <c r="AM391" s="325" t="s">
        <v>380</v>
      </c>
    </row>
    <row r="392" spans="1:39" s="10" customFormat="1" ht="17.100000000000001" customHeight="1" x14ac:dyDescent="0.3">
      <c r="A392" s="937"/>
      <c r="B392" s="927"/>
      <c r="C392" s="927"/>
      <c r="D392" s="927"/>
      <c r="E392" s="11" t="s">
        <v>506</v>
      </c>
      <c r="F392" s="250">
        <v>0.02</v>
      </c>
      <c r="G392" s="657">
        <v>10</v>
      </c>
      <c r="H392" s="399">
        <v>46017</v>
      </c>
      <c r="I392" s="13">
        <v>0.28000000000000003</v>
      </c>
      <c r="J392" s="927"/>
      <c r="K392" s="739" t="s">
        <v>881</v>
      </c>
      <c r="L392" s="662"/>
      <c r="M392" s="944"/>
      <c r="N392" s="872"/>
      <c r="O392" s="872"/>
      <c r="P392" s="872"/>
      <c r="Q392" s="921"/>
      <c r="R392" s="921"/>
      <c r="S392" s="927"/>
      <c r="T392" s="872"/>
      <c r="U392" s="872"/>
      <c r="V392" s="872"/>
      <c r="W392" s="872"/>
      <c r="X392" s="921"/>
      <c r="Y392" s="872"/>
      <c r="Z392" s="876"/>
      <c r="AA392" s="879"/>
      <c r="AB392" s="879"/>
      <c r="AC392" s="882"/>
      <c r="AD392" s="58"/>
      <c r="AE392" s="79"/>
      <c r="AF392" s="59"/>
      <c r="AG392" s="9"/>
      <c r="AH392" s="928"/>
      <c r="AI392" s="915"/>
      <c r="AJ392" s="917"/>
      <c r="AK392" s="915"/>
      <c r="AL392" s="933"/>
      <c r="AM392" s="58"/>
    </row>
    <row r="393" spans="1:39" s="10" customFormat="1" ht="17.100000000000001" customHeight="1" x14ac:dyDescent="0.3">
      <c r="A393" s="938"/>
      <c r="B393" s="940"/>
      <c r="C393" s="940"/>
      <c r="D393" s="940"/>
      <c r="E393" s="20" t="s">
        <v>100</v>
      </c>
      <c r="F393" s="445">
        <v>0.21</v>
      </c>
      <c r="G393" s="657">
        <v>10</v>
      </c>
      <c r="H393" s="399">
        <v>46017</v>
      </c>
      <c r="I393" s="13">
        <v>1</v>
      </c>
      <c r="J393" s="940"/>
      <c r="K393" s="343"/>
      <c r="L393" s="662"/>
      <c r="M393" s="944"/>
      <c r="N393" s="873"/>
      <c r="O393" s="873"/>
      <c r="P393" s="873"/>
      <c r="Q393" s="921"/>
      <c r="R393" s="921"/>
      <c r="S393" s="940"/>
      <c r="T393" s="873"/>
      <c r="U393" s="873"/>
      <c r="V393" s="873"/>
      <c r="W393" s="873"/>
      <c r="X393" s="921"/>
      <c r="Y393" s="873"/>
      <c r="Z393" s="876"/>
      <c r="AA393" s="879"/>
      <c r="AB393" s="879"/>
      <c r="AC393" s="882"/>
      <c r="AD393" s="60"/>
      <c r="AE393" s="80"/>
      <c r="AF393" s="61"/>
      <c r="AG393" s="9"/>
      <c r="AH393" s="928"/>
      <c r="AI393" s="915"/>
      <c r="AJ393" s="917"/>
      <c r="AK393" s="915"/>
      <c r="AL393" s="933"/>
      <c r="AM393" s="60"/>
    </row>
    <row r="394" spans="1:39" s="10" customFormat="1" ht="17.100000000000001" customHeight="1" x14ac:dyDescent="0.3">
      <c r="A394" s="939"/>
      <c r="B394" s="941"/>
      <c r="C394" s="941"/>
      <c r="D394" s="941"/>
      <c r="E394" s="180" t="s">
        <v>183</v>
      </c>
      <c r="F394" s="555"/>
      <c r="G394" s="655"/>
      <c r="H394" s="663"/>
      <c r="I394" s="17"/>
      <c r="J394" s="941"/>
      <c r="K394" s="664"/>
      <c r="L394" s="660"/>
      <c r="M394" s="945"/>
      <c r="N394" s="874"/>
      <c r="O394" s="874"/>
      <c r="P394" s="874"/>
      <c r="Q394" s="946"/>
      <c r="R394" s="946"/>
      <c r="S394" s="941"/>
      <c r="T394" s="874"/>
      <c r="U394" s="874"/>
      <c r="V394" s="874"/>
      <c r="W394" s="874"/>
      <c r="X394" s="946"/>
      <c r="Y394" s="874"/>
      <c r="Z394" s="877"/>
      <c r="AA394" s="880"/>
      <c r="AB394" s="880"/>
      <c r="AC394" s="883"/>
      <c r="AD394" s="60"/>
      <c r="AE394" s="80"/>
      <c r="AF394" s="61"/>
      <c r="AG394" s="9"/>
      <c r="AH394" s="928"/>
      <c r="AI394" s="915"/>
      <c r="AJ394" s="918"/>
      <c r="AK394" s="915"/>
      <c r="AL394" s="933"/>
      <c r="AM394" s="60"/>
    </row>
    <row r="395" spans="1:39" s="10" customFormat="1" ht="17.100000000000001" customHeight="1" x14ac:dyDescent="0.3">
      <c r="A395" s="884">
        <v>46112</v>
      </c>
      <c r="B395" s="913" t="s">
        <v>886</v>
      </c>
      <c r="C395" s="891" t="s">
        <v>62</v>
      </c>
      <c r="D395" s="891">
        <v>1</v>
      </c>
      <c r="E395" s="19" t="s">
        <v>2</v>
      </c>
      <c r="F395" s="224" t="s">
        <v>941</v>
      </c>
      <c r="G395" s="690">
        <v>10</v>
      </c>
      <c r="H395" s="695">
        <v>46166</v>
      </c>
      <c r="I395" s="7">
        <v>1</v>
      </c>
      <c r="J395" s="952" t="s">
        <v>849</v>
      </c>
      <c r="K395" s="989"/>
      <c r="L395" s="897"/>
      <c r="M395" s="943" t="s">
        <v>406</v>
      </c>
      <c r="N395" s="888"/>
      <c r="O395" s="888"/>
      <c r="P395" s="888"/>
      <c r="Q395" s="888"/>
      <c r="R395" s="888" t="s">
        <v>846</v>
      </c>
      <c r="S395" s="987" t="s">
        <v>857</v>
      </c>
      <c r="T395" s="884"/>
      <c r="U395" s="884"/>
      <c r="V395" s="888"/>
      <c r="W395" s="891"/>
      <c r="X395" s="913" t="s">
        <v>846</v>
      </c>
      <c r="Y395" s="903"/>
      <c r="Z395" s="868"/>
      <c r="AA395" s="862" t="s">
        <v>136</v>
      </c>
      <c r="AB395" s="862" t="s">
        <v>354</v>
      </c>
      <c r="AC395" s="908">
        <v>1500000</v>
      </c>
      <c r="AD395" s="56"/>
      <c r="AE395" s="56"/>
      <c r="AF395" s="56"/>
      <c r="AG395" s="9" t="s">
        <v>136</v>
      </c>
      <c r="AH395" s="52"/>
      <c r="AI395" s="39"/>
      <c r="AJ395" s="39"/>
      <c r="AK395" s="39"/>
      <c r="AL395" s="39"/>
      <c r="AM395" s="56"/>
    </row>
    <row r="396" spans="1:39" s="10" customFormat="1" ht="17.100000000000001" customHeight="1" x14ac:dyDescent="0.3">
      <c r="A396" s="892"/>
      <c r="B396" s="889"/>
      <c r="C396" s="889"/>
      <c r="D396" s="889"/>
      <c r="E396" s="35" t="s">
        <v>319</v>
      </c>
      <c r="F396" s="243" t="s">
        <v>222</v>
      </c>
      <c r="G396" s="689">
        <v>10</v>
      </c>
      <c r="H396" s="178">
        <v>46166</v>
      </c>
      <c r="I396" s="36">
        <v>0.88</v>
      </c>
      <c r="J396" s="966"/>
      <c r="K396" s="1223"/>
      <c r="L396" s="876"/>
      <c r="M396" s="944"/>
      <c r="N396" s="921"/>
      <c r="O396" s="921"/>
      <c r="P396" s="921"/>
      <c r="Q396" s="921"/>
      <c r="R396" s="921"/>
      <c r="S396" s="925"/>
      <c r="T396" s="892"/>
      <c r="U396" s="885"/>
      <c r="V396" s="889"/>
      <c r="W396" s="889"/>
      <c r="X396" s="889"/>
      <c r="Y396" s="1221"/>
      <c r="Z396" s="869"/>
      <c r="AA396" s="863"/>
      <c r="AB396" s="863"/>
      <c r="AC396" s="909"/>
      <c r="AD396" s="64"/>
      <c r="AE396" s="64"/>
      <c r="AF396" s="64"/>
      <c r="AG396" s="9"/>
      <c r="AH396" s="52"/>
      <c r="AI396" s="39"/>
      <c r="AJ396" s="39"/>
      <c r="AK396" s="39"/>
      <c r="AL396" s="39"/>
      <c r="AM396" s="64"/>
    </row>
    <row r="397" spans="1:39" s="10" customFormat="1" ht="17.100000000000001" customHeight="1" x14ac:dyDescent="0.3">
      <c r="A397" s="892"/>
      <c r="B397" s="889"/>
      <c r="C397" s="889"/>
      <c r="D397" s="889"/>
      <c r="E397" s="11" t="s">
        <v>3</v>
      </c>
      <c r="F397" s="251">
        <v>0.02</v>
      </c>
      <c r="G397" s="691">
        <v>10</v>
      </c>
      <c r="H397" s="399">
        <v>46350</v>
      </c>
      <c r="I397" s="13">
        <v>0.95</v>
      </c>
      <c r="J397" s="966"/>
      <c r="K397" s="1223"/>
      <c r="L397" s="876"/>
      <c r="M397" s="944"/>
      <c r="N397" s="921"/>
      <c r="O397" s="921"/>
      <c r="P397" s="921"/>
      <c r="Q397" s="921"/>
      <c r="R397" s="921"/>
      <c r="S397" s="925"/>
      <c r="T397" s="892"/>
      <c r="U397" s="885"/>
      <c r="V397" s="889"/>
      <c r="W397" s="889"/>
      <c r="X397" s="889"/>
      <c r="Y397" s="1221"/>
      <c r="Z397" s="869"/>
      <c r="AA397" s="863"/>
      <c r="AB397" s="863"/>
      <c r="AC397" s="909"/>
      <c r="AD397" s="64"/>
      <c r="AE397" s="64"/>
      <c r="AF397" s="64"/>
      <c r="AG397" s="9"/>
      <c r="AH397" s="52"/>
      <c r="AI397" s="39"/>
      <c r="AJ397" s="39"/>
      <c r="AK397" s="39"/>
      <c r="AL397" s="39"/>
      <c r="AM397" s="64"/>
    </row>
    <row r="398" spans="1:39" s="10" customFormat="1" ht="17.100000000000001" customHeight="1" x14ac:dyDescent="0.3">
      <c r="A398" s="892"/>
      <c r="B398" s="889"/>
      <c r="C398" s="889"/>
      <c r="D398" s="889"/>
      <c r="E398" s="68" t="s">
        <v>1036</v>
      </c>
      <c r="F398" s="447">
        <v>0.21</v>
      </c>
      <c r="G398" s="693">
        <v>10</v>
      </c>
      <c r="H398" s="539">
        <v>46350</v>
      </c>
      <c r="I398" s="34">
        <v>0.9</v>
      </c>
      <c r="J398" s="966"/>
      <c r="K398" s="1223"/>
      <c r="L398" s="876"/>
      <c r="M398" s="944"/>
      <c r="N398" s="921"/>
      <c r="O398" s="921"/>
      <c r="P398" s="921"/>
      <c r="Q398" s="921"/>
      <c r="R398" s="921"/>
      <c r="S398" s="925"/>
      <c r="T398" s="892"/>
      <c r="U398" s="885"/>
      <c r="V398" s="889"/>
      <c r="W398" s="889"/>
      <c r="X398" s="889"/>
      <c r="Y398" s="1221"/>
      <c r="Z398" s="869"/>
      <c r="AA398" s="863"/>
      <c r="AB398" s="863"/>
      <c r="AC398" s="909"/>
      <c r="AD398" s="522"/>
      <c r="AE398" s="64"/>
      <c r="AF398" s="64"/>
      <c r="AG398" s="9"/>
      <c r="AH398" s="52"/>
      <c r="AI398" s="39"/>
      <c r="AJ398" s="39"/>
      <c r="AK398" s="39"/>
      <c r="AL398" s="39"/>
      <c r="AM398" s="64"/>
    </row>
    <row r="399" spans="1:39" s="10" customFormat="1" ht="17.100000000000001" customHeight="1" x14ac:dyDescent="0.3">
      <c r="A399" s="892"/>
      <c r="B399" s="889"/>
      <c r="C399" s="889"/>
      <c r="D399" s="947">
        <v>2</v>
      </c>
      <c r="E399" s="540" t="s">
        <v>914</v>
      </c>
      <c r="F399" s="541" t="s">
        <v>50</v>
      </c>
      <c r="G399" s="542">
        <v>10</v>
      </c>
      <c r="H399" s="543">
        <v>46166</v>
      </c>
      <c r="I399" s="544">
        <v>1</v>
      </c>
      <c r="J399" s="966"/>
      <c r="K399" s="1223"/>
      <c r="L399" s="876"/>
      <c r="M399" s="944"/>
      <c r="N399" s="921"/>
      <c r="O399" s="921"/>
      <c r="P399" s="921"/>
      <c r="Q399" s="921"/>
      <c r="R399" s="921"/>
      <c r="S399" s="925"/>
      <c r="T399" s="892"/>
      <c r="U399" s="885"/>
      <c r="V399" s="889"/>
      <c r="W399" s="889"/>
      <c r="X399" s="889"/>
      <c r="Y399" s="1221"/>
      <c r="Z399" s="869"/>
      <c r="AA399" s="863"/>
      <c r="AB399" s="863"/>
      <c r="AC399" s="909"/>
      <c r="AD399" s="58"/>
      <c r="AE399" s="56"/>
      <c r="AF399" s="56"/>
      <c r="AG399" s="9" t="s">
        <v>136</v>
      </c>
      <c r="AH399" s="52"/>
      <c r="AI399" s="39"/>
      <c r="AJ399" s="39"/>
      <c r="AK399" s="39"/>
      <c r="AL399" s="39"/>
      <c r="AM399" s="56"/>
    </row>
    <row r="400" spans="1:39" s="10" customFormat="1" ht="17.100000000000001" customHeight="1" x14ac:dyDescent="0.3">
      <c r="A400" s="892"/>
      <c r="B400" s="889"/>
      <c r="C400" s="889"/>
      <c r="D400" s="889"/>
      <c r="E400" s="35" t="s">
        <v>319</v>
      </c>
      <c r="F400" s="243" t="s">
        <v>222</v>
      </c>
      <c r="G400" s="689">
        <v>10</v>
      </c>
      <c r="H400" s="178">
        <v>46166</v>
      </c>
      <c r="I400" s="36">
        <v>0.9</v>
      </c>
      <c r="J400" s="966"/>
      <c r="K400" s="1223"/>
      <c r="L400" s="876"/>
      <c r="M400" s="944"/>
      <c r="N400" s="921"/>
      <c r="O400" s="921"/>
      <c r="P400" s="921"/>
      <c r="Q400" s="921"/>
      <c r="R400" s="921"/>
      <c r="S400" s="925"/>
      <c r="T400" s="892"/>
      <c r="U400" s="885"/>
      <c r="V400" s="889"/>
      <c r="W400" s="889"/>
      <c r="X400" s="889"/>
      <c r="Y400" s="1221"/>
      <c r="Z400" s="869"/>
      <c r="AA400" s="863"/>
      <c r="AB400" s="863"/>
      <c r="AC400" s="909"/>
      <c r="AD400" s="64"/>
      <c r="AE400" s="64"/>
      <c r="AF400" s="64"/>
      <c r="AG400" s="9"/>
      <c r="AH400" s="52"/>
      <c r="AI400" s="39"/>
      <c r="AJ400" s="39"/>
      <c r="AK400" s="39"/>
      <c r="AL400" s="39"/>
      <c r="AM400" s="64"/>
    </row>
    <row r="401" spans="1:39" s="10" customFormat="1" ht="17.100000000000001" customHeight="1" x14ac:dyDescent="0.3">
      <c r="A401" s="892"/>
      <c r="B401" s="889"/>
      <c r="C401" s="889"/>
      <c r="D401" s="889"/>
      <c r="E401" s="11" t="s">
        <v>3</v>
      </c>
      <c r="F401" s="251">
        <v>0.02</v>
      </c>
      <c r="G401" s="691">
        <v>10</v>
      </c>
      <c r="H401" s="399">
        <v>46350</v>
      </c>
      <c r="I401" s="13">
        <v>0.96</v>
      </c>
      <c r="J401" s="966"/>
      <c r="K401" s="1223"/>
      <c r="L401" s="876"/>
      <c r="M401" s="944"/>
      <c r="N401" s="921"/>
      <c r="O401" s="921"/>
      <c r="P401" s="921"/>
      <c r="Q401" s="921"/>
      <c r="R401" s="921"/>
      <c r="S401" s="925"/>
      <c r="T401" s="892"/>
      <c r="U401" s="885"/>
      <c r="V401" s="889"/>
      <c r="W401" s="889"/>
      <c r="X401" s="889"/>
      <c r="Y401" s="1221"/>
      <c r="Z401" s="869"/>
      <c r="AA401" s="863"/>
      <c r="AB401" s="863"/>
      <c r="AC401" s="909"/>
      <c r="AD401" s="64"/>
      <c r="AE401" s="64"/>
      <c r="AF401" s="64"/>
      <c r="AG401" s="9"/>
      <c r="AH401" s="52"/>
      <c r="AI401" s="39"/>
      <c r="AJ401" s="39"/>
      <c r="AK401" s="39"/>
      <c r="AL401" s="39"/>
      <c r="AM401" s="64"/>
    </row>
    <row r="402" spans="1:39" s="10" customFormat="1" ht="17.100000000000001" customHeight="1" x14ac:dyDescent="0.3">
      <c r="A402" s="904"/>
      <c r="B402" s="890"/>
      <c r="C402" s="890"/>
      <c r="D402" s="890"/>
      <c r="E402" s="15" t="s">
        <v>912</v>
      </c>
      <c r="F402" s="249">
        <v>0.21</v>
      </c>
      <c r="G402" s="692">
        <v>10</v>
      </c>
      <c r="H402" s="696">
        <v>46350</v>
      </c>
      <c r="I402" s="17">
        <v>0.92</v>
      </c>
      <c r="J402" s="953"/>
      <c r="K402" s="990"/>
      <c r="L402" s="877"/>
      <c r="M402" s="945"/>
      <c r="N402" s="946"/>
      <c r="O402" s="946"/>
      <c r="P402" s="946"/>
      <c r="Q402" s="946"/>
      <c r="R402" s="946"/>
      <c r="S402" s="961"/>
      <c r="T402" s="904"/>
      <c r="U402" s="886"/>
      <c r="V402" s="890"/>
      <c r="W402" s="890"/>
      <c r="X402" s="890"/>
      <c r="Y402" s="1222"/>
      <c r="Z402" s="870"/>
      <c r="AA402" s="864"/>
      <c r="AB402" s="864"/>
      <c r="AC402" s="910"/>
      <c r="AD402" s="694"/>
      <c r="AE402" s="64"/>
      <c r="AF402" s="64"/>
      <c r="AG402" s="9"/>
      <c r="AH402" s="52"/>
      <c r="AI402" s="39"/>
      <c r="AJ402" s="39"/>
      <c r="AK402" s="39"/>
      <c r="AL402" s="39"/>
      <c r="AM402" s="64"/>
    </row>
    <row r="403" spans="1:39" ht="40.5" x14ac:dyDescent="0.3">
      <c r="A403" s="207">
        <v>46203</v>
      </c>
      <c r="B403" s="769" t="s">
        <v>905</v>
      </c>
      <c r="C403" s="42"/>
      <c r="D403" s="42"/>
      <c r="E403" s="208"/>
      <c r="F403" s="208"/>
      <c r="G403" s="209"/>
      <c r="H403" s="207"/>
      <c r="I403" s="210"/>
      <c r="J403" s="209"/>
      <c r="K403" s="352"/>
      <c r="L403" s="361"/>
      <c r="M403" s="353" t="s">
        <v>54</v>
      </c>
      <c r="N403" s="209"/>
      <c r="O403" s="209"/>
      <c r="P403" s="209"/>
      <c r="Q403" s="209"/>
      <c r="R403" s="209"/>
      <c r="S403" s="207"/>
      <c r="T403" s="207"/>
      <c r="U403" s="209"/>
      <c r="V403" s="770"/>
      <c r="W403" s="770"/>
      <c r="X403" s="209"/>
      <c r="Y403" s="207"/>
      <c r="Z403" s="361"/>
      <c r="AA403" s="771" t="s">
        <v>907</v>
      </c>
      <c r="AB403" s="771" t="s">
        <v>906</v>
      </c>
      <c r="AC403" s="464">
        <v>1200000</v>
      </c>
      <c r="AD403" s="211"/>
      <c r="AM403" s="66"/>
    </row>
    <row r="404" spans="1:39" ht="17.100000000000001" customHeight="1" x14ac:dyDescent="0.3">
      <c r="A404" s="884">
        <v>46387</v>
      </c>
      <c r="B404" s="891" t="s">
        <v>911</v>
      </c>
      <c r="C404" s="891"/>
      <c r="D404" s="891" t="s">
        <v>915</v>
      </c>
      <c r="E404" s="170" t="s">
        <v>2</v>
      </c>
      <c r="F404" s="170" t="s">
        <v>1</v>
      </c>
      <c r="G404" s="160"/>
      <c r="H404" s="161"/>
      <c r="I404" s="162"/>
      <c r="J404" s="160"/>
      <c r="K404" s="348"/>
      <c r="L404" s="348"/>
      <c r="M404" s="943" t="s">
        <v>916</v>
      </c>
      <c r="N404" s="160"/>
      <c r="O404" s="160"/>
      <c r="P404" s="160"/>
      <c r="Q404" s="160"/>
      <c r="R404" s="160"/>
      <c r="S404" s="161"/>
      <c r="T404" s="161"/>
      <c r="U404" s="160"/>
      <c r="V404" s="8"/>
      <c r="W404" s="8"/>
      <c r="X404" s="160"/>
      <c r="Y404" s="161"/>
      <c r="Z404" s="766"/>
      <c r="AA404" s="773"/>
      <c r="AB404" s="773"/>
      <c r="AC404" s="774"/>
      <c r="AD404" s="171"/>
      <c r="AM404" s="66"/>
    </row>
    <row r="405" spans="1:39" ht="17.100000000000001" customHeight="1" x14ac:dyDescent="0.3">
      <c r="A405" s="892"/>
      <c r="B405" s="889"/>
      <c r="C405" s="889"/>
      <c r="D405" s="889"/>
      <c r="E405" s="48" t="s">
        <v>939</v>
      </c>
      <c r="F405" s="48" t="s">
        <v>940</v>
      </c>
      <c r="K405" s="350"/>
      <c r="L405" s="350"/>
      <c r="M405" s="944"/>
      <c r="Z405" s="764"/>
      <c r="AA405" s="322"/>
      <c r="AB405" s="322"/>
      <c r="AC405" s="332"/>
      <c r="AM405" s="66"/>
    </row>
    <row r="406" spans="1:39" ht="17.100000000000001" customHeight="1" x14ac:dyDescent="0.3">
      <c r="A406" s="904"/>
      <c r="B406" s="890"/>
      <c r="C406" s="890"/>
      <c r="D406" s="890"/>
      <c r="E406" s="167" t="s">
        <v>913</v>
      </c>
      <c r="F406" s="249">
        <v>0.21</v>
      </c>
      <c r="G406" s="168"/>
      <c r="H406" s="166"/>
      <c r="I406" s="169"/>
      <c r="J406" s="168"/>
      <c r="K406" s="351"/>
      <c r="L406" s="351"/>
      <c r="M406" s="945"/>
      <c r="N406" s="168"/>
      <c r="O406" s="166">
        <v>45692</v>
      </c>
      <c r="P406" s="166">
        <v>46056</v>
      </c>
      <c r="Q406" s="168"/>
      <c r="R406" s="168"/>
      <c r="S406" s="166"/>
      <c r="T406" s="166"/>
      <c r="U406" s="168"/>
      <c r="V406" s="18"/>
      <c r="W406" s="18"/>
      <c r="X406" s="168"/>
      <c r="Y406" s="166"/>
      <c r="Z406" s="765"/>
      <c r="AA406" s="775"/>
      <c r="AB406" s="775"/>
      <c r="AC406" s="776"/>
      <c r="AD406" s="67"/>
      <c r="AM406" s="66"/>
    </row>
    <row r="407" spans="1:39" ht="17.100000000000001" customHeight="1" x14ac:dyDescent="0.3">
      <c r="A407" s="1231">
        <v>46446</v>
      </c>
      <c r="B407" s="960" t="s">
        <v>1019</v>
      </c>
      <c r="C407" s="840"/>
      <c r="D407" s="840"/>
      <c r="E407" s="432" t="s">
        <v>1034</v>
      </c>
      <c r="F407" s="432" t="s">
        <v>1035</v>
      </c>
      <c r="G407" s="433"/>
      <c r="H407" s="434"/>
      <c r="I407" s="435"/>
      <c r="J407" s="433"/>
      <c r="K407" s="348"/>
      <c r="L407" s="348"/>
      <c r="M407" s="905" t="s">
        <v>1038</v>
      </c>
      <c r="N407" s="433"/>
      <c r="O407" s="433"/>
      <c r="P407" s="433"/>
      <c r="Q407" s="433"/>
      <c r="R407" s="433"/>
      <c r="S407" s="434"/>
      <c r="T407" s="434"/>
      <c r="U407" s="433"/>
      <c r="V407" s="844"/>
      <c r="W407" s="844"/>
      <c r="X407" s="433"/>
      <c r="Y407" s="434"/>
      <c r="Z407" s="843"/>
      <c r="AA407" s="862" t="s">
        <v>1039</v>
      </c>
      <c r="AB407" s="862"/>
      <c r="AC407" s="908">
        <v>1250000</v>
      </c>
      <c r="AD407" s="348"/>
      <c r="AM407" s="66"/>
    </row>
    <row r="408" spans="1:39" ht="17.100000000000001" customHeight="1" x14ac:dyDescent="0.3">
      <c r="A408" s="1232"/>
      <c r="B408" s="925"/>
      <c r="C408" s="836"/>
      <c r="D408" s="836"/>
      <c r="E408" s="845" t="s">
        <v>1033</v>
      </c>
      <c r="F408" s="845"/>
      <c r="G408" s="846"/>
      <c r="H408" s="847"/>
      <c r="I408" s="848"/>
      <c r="J408" s="846"/>
      <c r="K408" s="350"/>
      <c r="L408" s="350"/>
      <c r="M408" s="906"/>
      <c r="N408" s="846"/>
      <c r="O408" s="846"/>
      <c r="P408" s="846"/>
      <c r="Q408" s="846"/>
      <c r="R408" s="846"/>
      <c r="S408" s="847"/>
      <c r="T408" s="847"/>
      <c r="U408" s="846"/>
      <c r="V408" s="849"/>
      <c r="W408" s="849"/>
      <c r="X408" s="846"/>
      <c r="Y408" s="847"/>
      <c r="Z408" s="841"/>
      <c r="AA408" s="863"/>
      <c r="AB408" s="863"/>
      <c r="AC408" s="909"/>
      <c r="AD408" s="350"/>
      <c r="AM408" s="66"/>
    </row>
    <row r="409" spans="1:39" ht="17.100000000000001" customHeight="1" x14ac:dyDescent="0.3">
      <c r="A409" s="1233"/>
      <c r="B409" s="961"/>
      <c r="C409" s="837"/>
      <c r="D409" s="837"/>
      <c r="E409" s="850" t="s">
        <v>1037</v>
      </c>
      <c r="F409" s="850"/>
      <c r="G409" s="851"/>
      <c r="H409" s="852"/>
      <c r="I409" s="853"/>
      <c r="J409" s="851"/>
      <c r="K409" s="351"/>
      <c r="L409" s="351"/>
      <c r="M409" s="907"/>
      <c r="N409" s="851"/>
      <c r="O409" s="851"/>
      <c r="P409" s="851"/>
      <c r="Q409" s="851"/>
      <c r="R409" s="851"/>
      <c r="S409" s="852"/>
      <c r="T409" s="852"/>
      <c r="U409" s="851"/>
      <c r="V409" s="854"/>
      <c r="W409" s="854"/>
      <c r="X409" s="851"/>
      <c r="Y409" s="852"/>
      <c r="Z409" s="842"/>
      <c r="AA409" s="864"/>
      <c r="AB409" s="864"/>
      <c r="AC409" s="910"/>
      <c r="AD409" s="351"/>
      <c r="AM409" s="66"/>
    </row>
    <row r="410" spans="1:39" ht="17.100000000000001" customHeight="1" x14ac:dyDescent="0.3">
      <c r="A410" s="833"/>
      <c r="B410" s="834"/>
      <c r="C410" s="834"/>
      <c r="D410" s="834"/>
      <c r="E410" s="44"/>
      <c r="F410" s="44"/>
      <c r="G410" s="835"/>
      <c r="H410" s="833"/>
      <c r="I410" s="46"/>
      <c r="J410" s="835"/>
      <c r="K410" s="349"/>
      <c r="L410" s="349"/>
      <c r="M410" s="349"/>
      <c r="N410" s="835"/>
      <c r="O410" s="835"/>
      <c r="P410" s="835"/>
      <c r="Q410" s="835"/>
      <c r="R410" s="835"/>
      <c r="S410" s="833"/>
      <c r="T410" s="833"/>
      <c r="U410" s="835"/>
      <c r="V410" s="37"/>
      <c r="W410" s="37"/>
      <c r="X410" s="835"/>
      <c r="Y410" s="833"/>
      <c r="Z410" s="767"/>
      <c r="AA410" s="768"/>
      <c r="AB410" s="768"/>
      <c r="AC410" s="768"/>
      <c r="AD410" s="165"/>
      <c r="AM410" s="66"/>
    </row>
    <row r="411" spans="1:39" ht="17.100000000000001" customHeight="1" x14ac:dyDescent="0.3">
      <c r="D411" s="384"/>
      <c r="K411" s="350"/>
      <c r="L411" s="350"/>
      <c r="M411" s="350"/>
      <c r="Z411" s="549"/>
      <c r="AA411" s="322"/>
      <c r="AB411" s="322"/>
      <c r="AC411" s="322"/>
      <c r="AM411" s="66"/>
    </row>
    <row r="412" spans="1:39" ht="17.100000000000001" customHeight="1" x14ac:dyDescent="0.3">
      <c r="D412" s="384"/>
      <c r="K412" s="350"/>
      <c r="L412" s="350"/>
      <c r="M412" s="350"/>
      <c r="Z412" s="549"/>
      <c r="AA412" s="322"/>
      <c r="AB412" s="322"/>
      <c r="AC412" s="322"/>
      <c r="AM412" s="66"/>
    </row>
    <row r="413" spans="1:39" ht="17.100000000000001" customHeight="1" x14ac:dyDescent="0.3">
      <c r="D413" s="384"/>
      <c r="K413" s="350"/>
      <c r="L413" s="350"/>
      <c r="M413" s="350"/>
      <c r="Z413" s="549"/>
      <c r="AA413" s="322"/>
      <c r="AB413" s="322"/>
      <c r="AC413" s="322"/>
      <c r="AM413" s="66"/>
    </row>
    <row r="414" spans="1:39" ht="17.100000000000001" customHeight="1" x14ac:dyDescent="0.3">
      <c r="D414" s="384"/>
      <c r="K414" s="350"/>
      <c r="L414" s="350"/>
      <c r="M414" s="350"/>
      <c r="Z414" s="549"/>
      <c r="AA414" s="322"/>
      <c r="AB414" s="322"/>
      <c r="AC414" s="322"/>
      <c r="AM414" s="66"/>
    </row>
    <row r="415" spans="1:39" ht="17.100000000000001" customHeight="1" x14ac:dyDescent="0.3">
      <c r="D415" s="384"/>
      <c r="K415" s="350"/>
      <c r="L415" s="350"/>
      <c r="M415" s="350"/>
      <c r="Z415" s="549"/>
      <c r="AA415" s="322"/>
      <c r="AB415" s="322"/>
      <c r="AC415" s="322"/>
      <c r="AM415" s="66"/>
    </row>
    <row r="416" spans="1:39" ht="17.100000000000001" customHeight="1" x14ac:dyDescent="0.3">
      <c r="D416" s="384"/>
      <c r="K416" s="350"/>
      <c r="L416" s="350"/>
      <c r="M416" s="350"/>
      <c r="Z416" s="549"/>
      <c r="AA416" s="322"/>
      <c r="AB416" s="322"/>
      <c r="AC416" s="322"/>
      <c r="AM416" s="66"/>
    </row>
    <row r="417" spans="4:39" ht="17.100000000000001" customHeight="1" x14ac:dyDescent="0.3">
      <c r="D417" s="384"/>
      <c r="K417" s="350"/>
      <c r="L417" s="350"/>
      <c r="M417" s="350"/>
      <c r="Z417" s="549"/>
      <c r="AA417" s="322"/>
      <c r="AB417" s="322"/>
      <c r="AC417" s="322"/>
      <c r="AM417" s="66"/>
    </row>
    <row r="418" spans="4:39" ht="17.100000000000001" customHeight="1" x14ac:dyDescent="0.3">
      <c r="D418" s="384"/>
      <c r="K418" s="350"/>
      <c r="L418" s="350"/>
      <c r="M418" s="350"/>
      <c r="Z418" s="549"/>
      <c r="AA418" s="322"/>
      <c r="AB418" s="322"/>
      <c r="AC418" s="322"/>
      <c r="AM418" s="66"/>
    </row>
    <row r="419" spans="4:39" ht="17.100000000000001" customHeight="1" x14ac:dyDescent="0.3">
      <c r="D419" s="384"/>
      <c r="K419" s="350"/>
      <c r="L419" s="350"/>
      <c r="M419" s="350"/>
      <c r="Z419" s="549"/>
      <c r="AA419" s="322"/>
      <c r="AB419" s="322"/>
      <c r="AC419" s="322"/>
      <c r="AM419" s="66"/>
    </row>
    <row r="420" spans="4:39" ht="17.100000000000001" customHeight="1" x14ac:dyDescent="0.3">
      <c r="D420" s="384"/>
      <c r="K420" s="350"/>
      <c r="L420" s="350"/>
      <c r="M420" s="350"/>
      <c r="Z420" s="549"/>
      <c r="AA420" s="322"/>
      <c r="AB420" s="322"/>
      <c r="AC420" s="322"/>
      <c r="AM420" s="66"/>
    </row>
    <row r="421" spans="4:39" ht="17.100000000000001" customHeight="1" x14ac:dyDescent="0.3">
      <c r="D421" s="384"/>
      <c r="K421" s="350"/>
      <c r="L421" s="350"/>
      <c r="M421" s="350"/>
      <c r="Z421" s="549"/>
      <c r="AA421" s="322"/>
      <c r="AB421" s="322"/>
      <c r="AC421" s="322"/>
      <c r="AM421" s="66"/>
    </row>
    <row r="422" spans="4:39" ht="17.100000000000001" customHeight="1" x14ac:dyDescent="0.3">
      <c r="D422" s="384"/>
      <c r="K422" s="350"/>
      <c r="L422" s="350"/>
      <c r="M422" s="350"/>
      <c r="Z422" s="549"/>
      <c r="AA422" s="322"/>
      <c r="AB422" s="322"/>
      <c r="AC422" s="322"/>
      <c r="AM422" s="66"/>
    </row>
    <row r="423" spans="4:39" ht="17.100000000000001" customHeight="1" x14ac:dyDescent="0.3">
      <c r="D423" s="384"/>
      <c r="K423" s="350"/>
      <c r="L423" s="350"/>
      <c r="M423" s="350"/>
      <c r="Z423" s="549"/>
      <c r="AA423" s="322"/>
      <c r="AB423" s="322"/>
      <c r="AC423" s="322"/>
      <c r="AM423" s="66"/>
    </row>
    <row r="424" spans="4:39" ht="17.100000000000001" customHeight="1" x14ac:dyDescent="0.3">
      <c r="D424" s="384"/>
      <c r="K424" s="350"/>
      <c r="L424" s="350"/>
      <c r="M424" s="350"/>
      <c r="Z424" s="549"/>
      <c r="AA424" s="322"/>
      <c r="AB424" s="322"/>
      <c r="AC424" s="322"/>
      <c r="AM424" s="66"/>
    </row>
    <row r="425" spans="4:39" ht="17.100000000000001" customHeight="1" x14ac:dyDescent="0.3">
      <c r="D425" s="384"/>
      <c r="K425" s="350"/>
      <c r="L425" s="350"/>
      <c r="M425" s="350"/>
      <c r="Z425" s="549"/>
      <c r="AA425" s="322"/>
      <c r="AB425" s="322"/>
      <c r="AC425" s="322"/>
      <c r="AM425" s="66"/>
    </row>
    <row r="426" spans="4:39" ht="17.100000000000001" customHeight="1" x14ac:dyDescent="0.3">
      <c r="D426" s="384"/>
      <c r="K426" s="350"/>
      <c r="L426" s="350"/>
      <c r="M426" s="350"/>
      <c r="Z426" s="549"/>
      <c r="AA426" s="322"/>
      <c r="AB426" s="322"/>
      <c r="AC426" s="322"/>
      <c r="AM426" s="66"/>
    </row>
    <row r="427" spans="4:39" ht="17.100000000000001" customHeight="1" x14ac:dyDescent="0.3">
      <c r="D427" s="384"/>
      <c r="K427" s="350"/>
      <c r="L427" s="350"/>
      <c r="M427" s="350"/>
      <c r="Z427" s="549"/>
      <c r="AA427" s="322"/>
      <c r="AB427" s="322"/>
      <c r="AC427" s="322"/>
      <c r="AM427" s="66"/>
    </row>
    <row r="428" spans="4:39" ht="17.100000000000001" customHeight="1" x14ac:dyDescent="0.3">
      <c r="D428" s="384"/>
      <c r="K428" s="350"/>
      <c r="L428" s="350"/>
      <c r="M428" s="350"/>
      <c r="Z428" s="549"/>
      <c r="AA428" s="322"/>
      <c r="AB428" s="322"/>
      <c r="AC428" s="322"/>
      <c r="AM428" s="66"/>
    </row>
    <row r="429" spans="4:39" ht="17.100000000000001" customHeight="1" x14ac:dyDescent="0.3">
      <c r="D429" s="384"/>
      <c r="K429" s="350"/>
      <c r="L429" s="350"/>
      <c r="M429" s="350"/>
      <c r="Z429" s="549"/>
      <c r="AA429" s="322"/>
      <c r="AB429" s="322"/>
      <c r="AC429" s="322"/>
      <c r="AM429" s="66"/>
    </row>
    <row r="430" spans="4:39" ht="17.100000000000001" customHeight="1" x14ac:dyDescent="0.3">
      <c r="D430" s="384"/>
      <c r="K430" s="350"/>
      <c r="L430" s="350"/>
      <c r="M430" s="350"/>
      <c r="Z430" s="549"/>
      <c r="AA430" s="322"/>
      <c r="AB430" s="322"/>
      <c r="AC430" s="322"/>
      <c r="AM430" s="66"/>
    </row>
    <row r="431" spans="4:39" ht="17.100000000000001" customHeight="1" x14ac:dyDescent="0.3">
      <c r="D431" s="384"/>
      <c r="K431" s="350"/>
      <c r="L431" s="350"/>
      <c r="M431" s="350"/>
      <c r="Z431" s="549"/>
      <c r="AA431" s="322"/>
      <c r="AB431" s="322"/>
      <c r="AC431" s="322"/>
      <c r="AM431" s="66"/>
    </row>
    <row r="432" spans="4:39" ht="17.100000000000001" customHeight="1" x14ac:dyDescent="0.3">
      <c r="D432" s="384"/>
      <c r="K432" s="350"/>
      <c r="L432" s="350"/>
      <c r="M432" s="350"/>
      <c r="Z432" s="549"/>
      <c r="AA432" s="322"/>
      <c r="AB432" s="322"/>
      <c r="AC432" s="322"/>
      <c r="AM432" s="66"/>
    </row>
    <row r="433" spans="4:39" ht="17.100000000000001" customHeight="1" x14ac:dyDescent="0.3">
      <c r="D433" s="384"/>
      <c r="K433" s="350"/>
      <c r="L433" s="350"/>
      <c r="M433" s="350"/>
      <c r="Z433" s="549"/>
      <c r="AA433" s="322"/>
      <c r="AB433" s="322"/>
      <c r="AC433" s="322"/>
      <c r="AM433" s="66"/>
    </row>
    <row r="434" spans="4:39" ht="17.100000000000001" customHeight="1" x14ac:dyDescent="0.3">
      <c r="D434" s="384"/>
      <c r="K434" s="350"/>
      <c r="L434" s="350"/>
      <c r="M434" s="350"/>
      <c r="Z434" s="549"/>
      <c r="AA434" s="322"/>
      <c r="AB434" s="322"/>
      <c r="AC434" s="322"/>
      <c r="AM434" s="66"/>
    </row>
    <row r="435" spans="4:39" ht="17.100000000000001" customHeight="1" x14ac:dyDescent="0.3">
      <c r="D435" s="384"/>
      <c r="K435" s="350"/>
      <c r="L435" s="350"/>
      <c r="M435" s="350"/>
      <c r="Z435" s="549"/>
      <c r="AA435" s="322"/>
      <c r="AB435" s="322"/>
      <c r="AC435" s="322"/>
      <c r="AM435" s="66"/>
    </row>
    <row r="436" spans="4:39" ht="17.100000000000001" customHeight="1" x14ac:dyDescent="0.3">
      <c r="D436" s="384"/>
      <c r="K436" s="350"/>
      <c r="L436" s="350"/>
      <c r="M436" s="350"/>
      <c r="Z436" s="549"/>
      <c r="AA436" s="322"/>
      <c r="AB436" s="322"/>
      <c r="AC436" s="322"/>
      <c r="AM436" s="66"/>
    </row>
    <row r="437" spans="4:39" ht="17.100000000000001" customHeight="1" x14ac:dyDescent="0.3">
      <c r="D437" s="384"/>
      <c r="K437" s="350"/>
      <c r="L437" s="350"/>
      <c r="M437" s="350"/>
      <c r="Z437" s="549"/>
      <c r="AA437" s="322"/>
      <c r="AB437" s="322"/>
      <c r="AC437" s="322"/>
      <c r="AM437" s="66"/>
    </row>
    <row r="438" spans="4:39" ht="17.100000000000001" customHeight="1" x14ac:dyDescent="0.3">
      <c r="D438" s="384"/>
      <c r="K438" s="350"/>
      <c r="L438" s="350"/>
      <c r="M438" s="350"/>
      <c r="Z438" s="549"/>
      <c r="AA438" s="322"/>
      <c r="AB438" s="322"/>
      <c r="AC438" s="322"/>
      <c r="AM438" s="66"/>
    </row>
    <row r="439" spans="4:39" ht="17.100000000000001" customHeight="1" x14ac:dyDescent="0.3">
      <c r="D439" s="384"/>
      <c r="K439" s="350"/>
      <c r="L439" s="350"/>
      <c r="M439" s="350"/>
      <c r="Z439" s="549"/>
      <c r="AA439" s="322"/>
      <c r="AB439" s="322"/>
      <c r="AC439" s="322"/>
      <c r="AM439" s="66"/>
    </row>
    <row r="440" spans="4:39" ht="17.100000000000001" customHeight="1" x14ac:dyDescent="0.3">
      <c r="D440" s="384"/>
      <c r="K440" s="350"/>
      <c r="L440" s="350"/>
      <c r="M440" s="350"/>
      <c r="Z440" s="549"/>
      <c r="AA440" s="322"/>
      <c r="AB440" s="322"/>
      <c r="AC440" s="322"/>
      <c r="AM440" s="66"/>
    </row>
    <row r="441" spans="4:39" ht="17.100000000000001" customHeight="1" x14ac:dyDescent="0.3">
      <c r="D441" s="384"/>
      <c r="K441" s="350"/>
      <c r="L441" s="350"/>
      <c r="M441" s="350"/>
      <c r="Z441" s="549"/>
      <c r="AA441" s="322"/>
      <c r="AB441" s="322"/>
      <c r="AC441" s="322"/>
      <c r="AM441" s="66"/>
    </row>
    <row r="442" spans="4:39" ht="17.100000000000001" customHeight="1" x14ac:dyDescent="0.3">
      <c r="D442" s="384"/>
      <c r="K442" s="350"/>
      <c r="L442" s="350"/>
      <c r="M442" s="350"/>
      <c r="Z442" s="549"/>
      <c r="AA442" s="322"/>
      <c r="AB442" s="322"/>
      <c r="AC442" s="322"/>
      <c r="AM442" s="66"/>
    </row>
    <row r="443" spans="4:39" ht="17.100000000000001" customHeight="1" x14ac:dyDescent="0.3">
      <c r="D443" s="384"/>
      <c r="K443" s="350"/>
      <c r="L443" s="350"/>
      <c r="M443" s="350"/>
      <c r="Z443" s="549"/>
      <c r="AA443" s="322"/>
      <c r="AB443" s="322"/>
      <c r="AC443" s="322"/>
      <c r="AM443" s="66"/>
    </row>
    <row r="444" spans="4:39" ht="17.100000000000001" customHeight="1" x14ac:dyDescent="0.3">
      <c r="D444" s="384"/>
      <c r="K444" s="350"/>
      <c r="L444" s="350"/>
      <c r="M444" s="350"/>
      <c r="Z444" s="549"/>
      <c r="AA444" s="322"/>
      <c r="AB444" s="322"/>
      <c r="AC444" s="322"/>
      <c r="AM444" s="66"/>
    </row>
    <row r="445" spans="4:39" ht="17.100000000000001" customHeight="1" x14ac:dyDescent="0.3">
      <c r="D445" s="384"/>
      <c r="K445" s="350"/>
      <c r="L445" s="350"/>
      <c r="M445" s="350"/>
      <c r="Z445" s="549"/>
      <c r="AA445" s="322"/>
      <c r="AB445" s="322"/>
      <c r="AC445" s="322"/>
      <c r="AM445" s="66"/>
    </row>
    <row r="446" spans="4:39" ht="17.100000000000001" customHeight="1" x14ac:dyDescent="0.3">
      <c r="D446" s="384"/>
      <c r="K446" s="350"/>
      <c r="L446" s="350"/>
      <c r="M446" s="350"/>
      <c r="Z446" s="549"/>
      <c r="AA446" s="322"/>
      <c r="AB446" s="322"/>
      <c r="AC446" s="322"/>
      <c r="AM446" s="66"/>
    </row>
    <row r="447" spans="4:39" ht="17.100000000000001" customHeight="1" x14ac:dyDescent="0.3">
      <c r="D447" s="384"/>
      <c r="K447" s="350"/>
      <c r="L447" s="350"/>
      <c r="M447" s="350"/>
      <c r="Z447" s="549"/>
      <c r="AA447" s="322"/>
      <c r="AB447" s="322"/>
      <c r="AC447" s="322"/>
      <c r="AM447" s="66"/>
    </row>
    <row r="448" spans="4:39" ht="17.100000000000001" customHeight="1" x14ac:dyDescent="0.3">
      <c r="D448" s="384"/>
      <c r="K448" s="350"/>
      <c r="L448" s="350"/>
      <c r="M448" s="350"/>
      <c r="Z448" s="549"/>
      <c r="AA448" s="322"/>
      <c r="AB448" s="322"/>
      <c r="AC448" s="322"/>
      <c r="AM448" s="66"/>
    </row>
    <row r="449" spans="4:39" ht="17.100000000000001" customHeight="1" x14ac:dyDescent="0.3">
      <c r="D449" s="384"/>
      <c r="K449" s="350"/>
      <c r="L449" s="350"/>
      <c r="M449" s="350"/>
      <c r="Z449" s="549"/>
      <c r="AA449" s="322"/>
      <c r="AB449" s="322"/>
      <c r="AC449" s="322"/>
      <c r="AM449" s="66"/>
    </row>
    <row r="450" spans="4:39" ht="17.100000000000001" customHeight="1" x14ac:dyDescent="0.3">
      <c r="D450" s="384"/>
      <c r="Z450" s="549"/>
      <c r="AM450" s="66"/>
    </row>
    <row r="451" spans="4:39" ht="17.100000000000001" customHeight="1" x14ac:dyDescent="0.3">
      <c r="D451" s="384"/>
      <c r="Z451" s="549"/>
      <c r="AM451" s="66"/>
    </row>
    <row r="452" spans="4:39" ht="17.100000000000001" customHeight="1" x14ac:dyDescent="0.3">
      <c r="D452" s="384"/>
      <c r="Z452" s="549"/>
      <c r="AM452" s="66"/>
    </row>
    <row r="453" spans="4:39" ht="17.100000000000001" customHeight="1" x14ac:dyDescent="0.3">
      <c r="D453" s="384"/>
      <c r="Z453" s="549"/>
      <c r="AM453" s="66"/>
    </row>
    <row r="454" spans="4:39" ht="17.100000000000001" customHeight="1" x14ac:dyDescent="0.3">
      <c r="D454" s="384"/>
      <c r="Z454" s="549"/>
      <c r="AM454" s="66"/>
    </row>
    <row r="455" spans="4:39" ht="17.100000000000001" customHeight="1" x14ac:dyDescent="0.3">
      <c r="D455" s="384"/>
      <c r="Z455" s="549"/>
      <c r="AM455" s="66"/>
    </row>
    <row r="456" spans="4:39" ht="17.100000000000001" customHeight="1" x14ac:dyDescent="0.3">
      <c r="D456" s="384"/>
      <c r="Z456" s="549"/>
      <c r="AM456" s="66"/>
    </row>
    <row r="457" spans="4:39" ht="17.100000000000001" customHeight="1" x14ac:dyDescent="0.3">
      <c r="D457" s="384"/>
      <c r="Z457" s="549"/>
      <c r="AM457" s="66"/>
    </row>
    <row r="458" spans="4:39" ht="17.100000000000001" customHeight="1" x14ac:dyDescent="0.3">
      <c r="D458" s="384"/>
      <c r="Z458" s="549"/>
      <c r="AM458" s="66"/>
    </row>
    <row r="459" spans="4:39" ht="17.100000000000001" customHeight="1" x14ac:dyDescent="0.3">
      <c r="D459" s="384"/>
      <c r="Z459" s="549"/>
      <c r="AM459" s="66"/>
    </row>
    <row r="460" spans="4:39" ht="17.100000000000001" customHeight="1" x14ac:dyDescent="0.3">
      <c r="D460" s="384"/>
      <c r="Z460" s="549"/>
      <c r="AM460" s="66"/>
    </row>
    <row r="461" spans="4:39" ht="17.100000000000001" customHeight="1" x14ac:dyDescent="0.3">
      <c r="D461" s="384"/>
      <c r="Z461" s="549"/>
      <c r="AM461" s="66"/>
    </row>
    <row r="462" spans="4:39" ht="17.100000000000001" customHeight="1" x14ac:dyDescent="0.3">
      <c r="D462" s="384"/>
      <c r="Z462" s="549"/>
      <c r="AM462" s="66"/>
    </row>
    <row r="463" spans="4:39" ht="17.100000000000001" customHeight="1" x14ac:dyDescent="0.3">
      <c r="D463" s="384"/>
      <c r="Z463" s="549"/>
      <c r="AM463" s="66"/>
    </row>
    <row r="464" spans="4:39" ht="17.100000000000001" customHeight="1" x14ac:dyDescent="0.3">
      <c r="D464" s="384"/>
      <c r="Z464" s="549"/>
      <c r="AM464" s="66"/>
    </row>
    <row r="465" spans="4:39" ht="17.100000000000001" customHeight="1" x14ac:dyDescent="0.3">
      <c r="D465" s="384"/>
      <c r="Z465" s="549"/>
      <c r="AM465" s="66"/>
    </row>
    <row r="466" spans="4:39" ht="17.100000000000001" customHeight="1" x14ac:dyDescent="0.3">
      <c r="D466" s="384"/>
      <c r="Z466" s="549"/>
      <c r="AM466" s="66"/>
    </row>
    <row r="467" spans="4:39" ht="17.100000000000001" customHeight="1" x14ac:dyDescent="0.3">
      <c r="D467" s="384"/>
      <c r="Z467" s="549"/>
      <c r="AM467" s="66"/>
    </row>
    <row r="468" spans="4:39" ht="17.100000000000001" customHeight="1" x14ac:dyDescent="0.3">
      <c r="D468" s="384"/>
      <c r="Z468" s="549"/>
      <c r="AM468" s="66"/>
    </row>
    <row r="469" spans="4:39" ht="17.100000000000001" customHeight="1" x14ac:dyDescent="0.3">
      <c r="D469" s="384"/>
      <c r="Z469" s="549"/>
      <c r="AM469" s="66"/>
    </row>
    <row r="470" spans="4:39" ht="17.100000000000001" customHeight="1" x14ac:dyDescent="0.3">
      <c r="D470" s="384"/>
      <c r="Z470" s="549"/>
      <c r="AM470" s="66"/>
    </row>
    <row r="471" spans="4:39" ht="17.100000000000001" customHeight="1" x14ac:dyDescent="0.3">
      <c r="D471" s="384"/>
      <c r="Z471" s="549"/>
      <c r="AM471" s="66"/>
    </row>
    <row r="472" spans="4:39" ht="17.100000000000001" customHeight="1" x14ac:dyDescent="0.3">
      <c r="D472" s="384"/>
      <c r="Z472" s="549"/>
      <c r="AM472" s="66"/>
    </row>
    <row r="473" spans="4:39" ht="17.100000000000001" customHeight="1" x14ac:dyDescent="0.3">
      <c r="D473" s="384"/>
      <c r="Z473" s="549"/>
      <c r="AM473" s="66"/>
    </row>
    <row r="474" spans="4:39" ht="17.100000000000001" customHeight="1" x14ac:dyDescent="0.3">
      <c r="D474" s="384"/>
      <c r="Z474" s="549"/>
      <c r="AM474" s="66"/>
    </row>
    <row r="475" spans="4:39" ht="17.100000000000001" customHeight="1" x14ac:dyDescent="0.3">
      <c r="D475" s="384"/>
      <c r="Z475" s="549"/>
      <c r="AM475" s="66"/>
    </row>
    <row r="476" spans="4:39" ht="17.100000000000001" customHeight="1" x14ac:dyDescent="0.3">
      <c r="D476" s="384"/>
      <c r="Z476" s="549"/>
      <c r="AM476" s="66"/>
    </row>
    <row r="477" spans="4:39" ht="17.100000000000001" customHeight="1" x14ac:dyDescent="0.3">
      <c r="D477" s="384"/>
      <c r="Z477" s="549"/>
      <c r="AM477" s="66"/>
    </row>
    <row r="478" spans="4:39" ht="17.100000000000001" customHeight="1" x14ac:dyDescent="0.3">
      <c r="D478" s="384"/>
      <c r="Z478" s="549"/>
      <c r="AM478" s="66"/>
    </row>
    <row r="479" spans="4:39" ht="17.100000000000001" customHeight="1" x14ac:dyDescent="0.3">
      <c r="D479" s="384"/>
      <c r="Z479" s="549"/>
      <c r="AM479" s="66"/>
    </row>
    <row r="480" spans="4:39" ht="17.100000000000001" customHeight="1" x14ac:dyDescent="0.3">
      <c r="D480" s="384"/>
      <c r="Z480" s="549"/>
      <c r="AM480" s="66"/>
    </row>
    <row r="481" spans="4:39" ht="17.100000000000001" customHeight="1" x14ac:dyDescent="0.3">
      <c r="D481" s="384"/>
      <c r="Z481" s="549"/>
      <c r="AM481" s="66"/>
    </row>
    <row r="482" spans="4:39" ht="17.100000000000001" customHeight="1" x14ac:dyDescent="0.3">
      <c r="D482" s="384"/>
      <c r="Z482" s="549"/>
      <c r="AM482" s="66"/>
    </row>
    <row r="483" spans="4:39" ht="17.100000000000001" customHeight="1" x14ac:dyDescent="0.3">
      <c r="D483" s="384"/>
      <c r="Z483" s="549"/>
      <c r="AM483" s="66"/>
    </row>
    <row r="484" spans="4:39" ht="17.100000000000001" customHeight="1" x14ac:dyDescent="0.3">
      <c r="D484" s="384"/>
      <c r="Z484" s="549"/>
      <c r="AM484" s="66"/>
    </row>
    <row r="485" spans="4:39" ht="17.100000000000001" customHeight="1" x14ac:dyDescent="0.3">
      <c r="D485" s="384"/>
      <c r="Z485" s="549"/>
      <c r="AM485" s="66"/>
    </row>
    <row r="486" spans="4:39" ht="17.100000000000001" customHeight="1" x14ac:dyDescent="0.3">
      <c r="D486" s="384"/>
      <c r="Z486" s="549"/>
      <c r="AM486" s="66"/>
    </row>
    <row r="487" spans="4:39" ht="17.100000000000001" customHeight="1" x14ac:dyDescent="0.3">
      <c r="D487" s="384"/>
      <c r="Z487" s="549"/>
      <c r="AM487" s="66"/>
    </row>
    <row r="488" spans="4:39" ht="17.100000000000001" customHeight="1" x14ac:dyDescent="0.3">
      <c r="D488" s="384"/>
      <c r="Z488" s="549"/>
      <c r="AM488" s="66"/>
    </row>
    <row r="489" spans="4:39" ht="17.100000000000001" customHeight="1" x14ac:dyDescent="0.3">
      <c r="D489" s="384"/>
      <c r="H489" s="254" t="s">
        <v>257</v>
      </c>
      <c r="Z489" s="549"/>
      <c r="AM489" s="66"/>
    </row>
    <row r="490" spans="4:39" ht="17.100000000000001" customHeight="1" x14ac:dyDescent="0.3">
      <c r="D490" s="384"/>
      <c r="Z490" s="549"/>
      <c r="AM490" s="66"/>
    </row>
    <row r="491" spans="4:39" ht="17.100000000000001" customHeight="1" x14ac:dyDescent="0.3">
      <c r="D491" s="384"/>
      <c r="Z491" s="549"/>
      <c r="AM491" s="66"/>
    </row>
    <row r="492" spans="4:39" ht="17.100000000000001" customHeight="1" x14ac:dyDescent="0.3">
      <c r="D492" s="384"/>
      <c r="Z492" s="549"/>
      <c r="AM492" s="66"/>
    </row>
    <row r="493" spans="4:39" ht="17.100000000000001" customHeight="1" x14ac:dyDescent="0.3">
      <c r="D493" s="384"/>
      <c r="Z493" s="549"/>
      <c r="AM493" s="66"/>
    </row>
    <row r="494" spans="4:39" ht="17.100000000000001" customHeight="1" x14ac:dyDescent="0.3">
      <c r="D494" s="384"/>
      <c r="Z494" s="549"/>
      <c r="AM494" s="66"/>
    </row>
    <row r="495" spans="4:39" ht="17.100000000000001" customHeight="1" x14ac:dyDescent="0.3">
      <c r="D495" s="384"/>
      <c r="Z495" s="549"/>
      <c r="AM495" s="66"/>
    </row>
    <row r="496" spans="4:39" ht="17.100000000000001" customHeight="1" x14ac:dyDescent="0.3">
      <c r="D496" s="384"/>
      <c r="Z496" s="549"/>
      <c r="AM496" s="66"/>
    </row>
    <row r="497" spans="4:39" ht="17.100000000000001" customHeight="1" x14ac:dyDescent="0.3">
      <c r="D497" s="384"/>
      <c r="Z497" s="549"/>
      <c r="AM497" s="66"/>
    </row>
    <row r="498" spans="4:39" ht="17.100000000000001" customHeight="1" x14ac:dyDescent="0.3">
      <c r="D498" s="384"/>
      <c r="Z498" s="549"/>
      <c r="AM498" s="66"/>
    </row>
    <row r="499" spans="4:39" ht="17.100000000000001" customHeight="1" x14ac:dyDescent="0.3">
      <c r="D499" s="384"/>
      <c r="Z499" s="549"/>
      <c r="AM499" s="66"/>
    </row>
    <row r="500" spans="4:39" ht="17.100000000000001" customHeight="1" x14ac:dyDescent="0.3">
      <c r="D500" s="384"/>
      <c r="Z500" s="549"/>
      <c r="AM500" s="66"/>
    </row>
    <row r="501" spans="4:39" ht="17.100000000000001" customHeight="1" x14ac:dyDescent="0.3">
      <c r="D501" s="384"/>
      <c r="Z501" s="549"/>
      <c r="AM501" s="66"/>
    </row>
    <row r="502" spans="4:39" ht="17.100000000000001" customHeight="1" x14ac:dyDescent="0.3">
      <c r="D502" s="384"/>
      <c r="Z502" s="549"/>
      <c r="AM502" s="66"/>
    </row>
    <row r="503" spans="4:39" ht="17.100000000000001" customHeight="1" x14ac:dyDescent="0.3">
      <c r="D503" s="384"/>
      <c r="Z503" s="549"/>
      <c r="AM503" s="66"/>
    </row>
    <row r="504" spans="4:39" ht="17.100000000000001" customHeight="1" x14ac:dyDescent="0.3">
      <c r="D504" s="384"/>
      <c r="Z504" s="549"/>
      <c r="AM504" s="66"/>
    </row>
    <row r="505" spans="4:39" ht="17.100000000000001" customHeight="1" x14ac:dyDescent="0.3">
      <c r="D505" s="384"/>
      <c r="Z505" s="549"/>
      <c r="AM505" s="66"/>
    </row>
    <row r="506" spans="4:39" ht="17.100000000000001" customHeight="1" x14ac:dyDescent="0.3">
      <c r="D506" s="384"/>
      <c r="Z506" s="549"/>
      <c r="AM506" s="66"/>
    </row>
    <row r="507" spans="4:39" ht="17.100000000000001" customHeight="1" x14ac:dyDescent="0.3">
      <c r="D507" s="384"/>
      <c r="Z507" s="549"/>
      <c r="AM507" s="66"/>
    </row>
    <row r="508" spans="4:39" ht="17.100000000000001" customHeight="1" x14ac:dyDescent="0.3">
      <c r="D508" s="384"/>
      <c r="Z508" s="549"/>
      <c r="AK508" s="321">
        <v>46031</v>
      </c>
      <c r="AM508" s="66"/>
    </row>
    <row r="509" spans="4:39" ht="17.100000000000001" customHeight="1" x14ac:dyDescent="0.3">
      <c r="D509" s="384"/>
      <c r="Z509" s="549"/>
      <c r="AM509" s="66"/>
    </row>
    <row r="510" spans="4:39" ht="17.100000000000001" customHeight="1" x14ac:dyDescent="0.3">
      <c r="D510" s="384"/>
      <c r="Z510" s="549"/>
      <c r="AM510" s="66"/>
    </row>
    <row r="511" spans="4:39" ht="17.100000000000001" customHeight="1" x14ac:dyDescent="0.3">
      <c r="D511" s="384"/>
      <c r="Z511" s="549"/>
      <c r="AM511" s="66"/>
    </row>
    <row r="512" spans="4:39" ht="17.100000000000001" customHeight="1" x14ac:dyDescent="0.3">
      <c r="D512" s="384"/>
      <c r="Z512" s="549"/>
      <c r="AM512" s="66"/>
    </row>
    <row r="513" spans="4:39" ht="17.100000000000001" customHeight="1" x14ac:dyDescent="0.3">
      <c r="D513" s="384"/>
      <c r="Z513" s="549"/>
      <c r="AM513" s="66"/>
    </row>
    <row r="514" spans="4:39" ht="17.100000000000001" customHeight="1" x14ac:dyDescent="0.3">
      <c r="D514" s="384"/>
      <c r="Z514" s="549"/>
      <c r="AM514" s="66"/>
    </row>
    <row r="515" spans="4:39" ht="17.100000000000001" customHeight="1" x14ac:dyDescent="0.3">
      <c r="D515" s="384"/>
      <c r="Z515" s="549"/>
      <c r="AM515" s="66"/>
    </row>
    <row r="516" spans="4:39" ht="17.100000000000001" customHeight="1" x14ac:dyDescent="0.3">
      <c r="D516" s="384"/>
      <c r="Z516" s="549"/>
      <c r="AM516" s="66"/>
    </row>
    <row r="517" spans="4:39" ht="17.100000000000001" customHeight="1" x14ac:dyDescent="0.3">
      <c r="D517" s="384"/>
      <c r="Z517" s="549"/>
      <c r="AM517" s="66"/>
    </row>
    <row r="518" spans="4:39" ht="17.100000000000001" customHeight="1" x14ac:dyDescent="0.3">
      <c r="D518" s="384"/>
      <c r="Z518" s="549"/>
      <c r="AM518" s="66"/>
    </row>
    <row r="519" spans="4:39" ht="17.100000000000001" customHeight="1" x14ac:dyDescent="0.3">
      <c r="D519" s="384"/>
      <c r="Z519" s="549"/>
      <c r="AM519" s="66"/>
    </row>
    <row r="520" spans="4:39" ht="17.100000000000001" customHeight="1" x14ac:dyDescent="0.3">
      <c r="D520" s="384"/>
      <c r="Z520" s="549"/>
      <c r="AM520" s="66"/>
    </row>
    <row r="521" spans="4:39" ht="17.100000000000001" customHeight="1" x14ac:dyDescent="0.3">
      <c r="D521" s="384"/>
      <c r="Z521" s="549"/>
      <c r="AM521" s="66"/>
    </row>
    <row r="522" spans="4:39" ht="17.100000000000001" customHeight="1" x14ac:dyDescent="0.3">
      <c r="D522" s="384"/>
      <c r="Z522" s="549"/>
      <c r="AM522" s="66"/>
    </row>
    <row r="523" spans="4:39" ht="17.100000000000001" customHeight="1" x14ac:dyDescent="0.3">
      <c r="D523" s="384"/>
      <c r="Z523" s="549"/>
      <c r="AM523" s="66"/>
    </row>
    <row r="524" spans="4:39" ht="17.100000000000001" customHeight="1" x14ac:dyDescent="0.3">
      <c r="D524" s="384"/>
      <c r="Z524" s="549"/>
      <c r="AM524" s="66"/>
    </row>
    <row r="525" spans="4:39" ht="17.100000000000001" customHeight="1" x14ac:dyDescent="0.3">
      <c r="D525" s="384"/>
      <c r="Z525" s="549"/>
      <c r="AM525" s="66"/>
    </row>
    <row r="526" spans="4:39" ht="17.100000000000001" customHeight="1" x14ac:dyDescent="0.3">
      <c r="D526" s="384"/>
      <c r="Z526" s="549"/>
      <c r="AM526" s="66"/>
    </row>
    <row r="527" spans="4:39" ht="17.100000000000001" customHeight="1" x14ac:dyDescent="0.3">
      <c r="D527" s="384"/>
      <c r="Z527" s="549"/>
      <c r="AM527" s="66"/>
    </row>
    <row r="528" spans="4:39" ht="17.100000000000001" customHeight="1" x14ac:dyDescent="0.3">
      <c r="D528" s="384"/>
      <c r="Z528" s="549"/>
      <c r="AM528" s="66"/>
    </row>
    <row r="529" spans="4:39" ht="17.100000000000001" customHeight="1" x14ac:dyDescent="0.3">
      <c r="D529" s="384"/>
      <c r="Z529" s="549"/>
      <c r="AM529" s="66"/>
    </row>
    <row r="530" spans="4:39" ht="17.100000000000001" customHeight="1" x14ac:dyDescent="0.3">
      <c r="D530" s="384"/>
      <c r="Z530" s="549"/>
      <c r="AM530" s="66"/>
    </row>
    <row r="531" spans="4:39" ht="17.100000000000001" customHeight="1" x14ac:dyDescent="0.3">
      <c r="D531" s="384"/>
      <c r="Z531" s="549"/>
      <c r="AM531" s="66"/>
    </row>
    <row r="532" spans="4:39" ht="17.100000000000001" customHeight="1" x14ac:dyDescent="0.3">
      <c r="D532" s="384"/>
      <c r="Z532" s="549"/>
      <c r="AM532" s="66"/>
    </row>
    <row r="533" spans="4:39" ht="17.100000000000001" customHeight="1" x14ac:dyDescent="0.3">
      <c r="D533" s="384"/>
      <c r="Z533" s="549"/>
      <c r="AM533" s="66"/>
    </row>
    <row r="534" spans="4:39" ht="17.100000000000001" customHeight="1" x14ac:dyDescent="0.3">
      <c r="D534" s="384"/>
      <c r="Z534" s="549"/>
      <c r="AM534" s="66"/>
    </row>
    <row r="535" spans="4:39" ht="17.100000000000001" customHeight="1" x14ac:dyDescent="0.3">
      <c r="D535" s="384"/>
      <c r="Z535" s="549"/>
      <c r="AM535" s="66"/>
    </row>
    <row r="536" spans="4:39" ht="17.100000000000001" customHeight="1" x14ac:dyDescent="0.3">
      <c r="D536" s="384"/>
      <c r="Z536" s="549"/>
      <c r="AM536" s="66"/>
    </row>
    <row r="537" spans="4:39" ht="17.100000000000001" customHeight="1" x14ac:dyDescent="0.3">
      <c r="D537" s="384"/>
      <c r="Z537" s="549"/>
      <c r="AM537" s="66"/>
    </row>
    <row r="538" spans="4:39" ht="17.100000000000001" customHeight="1" x14ac:dyDescent="0.3">
      <c r="D538" s="384"/>
      <c r="Z538" s="549"/>
      <c r="AM538" s="66"/>
    </row>
    <row r="539" spans="4:39" ht="17.100000000000001" customHeight="1" x14ac:dyDescent="0.3">
      <c r="D539" s="384"/>
      <c r="Z539" s="549"/>
      <c r="AM539" s="66"/>
    </row>
    <row r="540" spans="4:39" ht="17.100000000000001" customHeight="1" x14ac:dyDescent="0.3">
      <c r="D540" s="384"/>
      <c r="Z540" s="549"/>
      <c r="AM540" s="66"/>
    </row>
    <row r="541" spans="4:39" ht="17.100000000000001" customHeight="1" x14ac:dyDescent="0.3">
      <c r="D541" s="384"/>
      <c r="Z541" s="549"/>
      <c r="AM541" s="66"/>
    </row>
    <row r="542" spans="4:39" ht="17.100000000000001" customHeight="1" x14ac:dyDescent="0.3">
      <c r="D542" s="384"/>
      <c r="Z542" s="549"/>
      <c r="AM542" s="66"/>
    </row>
    <row r="543" spans="4:39" ht="17.100000000000001" customHeight="1" x14ac:dyDescent="0.3">
      <c r="D543" s="384"/>
      <c r="Z543" s="549"/>
      <c r="AM543" s="66"/>
    </row>
    <row r="544" spans="4:39" ht="17.100000000000001" customHeight="1" x14ac:dyDescent="0.3">
      <c r="D544" s="384"/>
      <c r="Z544" s="549"/>
      <c r="AM544" s="66"/>
    </row>
    <row r="545" spans="4:39" ht="17.100000000000001" customHeight="1" x14ac:dyDescent="0.3">
      <c r="D545" s="384"/>
      <c r="Z545" s="549"/>
      <c r="AM545" s="66"/>
    </row>
    <row r="546" spans="4:39" ht="17.100000000000001" customHeight="1" x14ac:dyDescent="0.3">
      <c r="D546" s="384"/>
      <c r="Z546" s="549"/>
      <c r="AM546" s="66"/>
    </row>
    <row r="547" spans="4:39" ht="17.100000000000001" customHeight="1" x14ac:dyDescent="0.3">
      <c r="D547" s="384"/>
      <c r="Z547" s="549"/>
      <c r="AM547" s="66"/>
    </row>
    <row r="548" spans="4:39" ht="17.100000000000001" customHeight="1" x14ac:dyDescent="0.3">
      <c r="D548" s="384"/>
      <c r="Z548" s="549"/>
      <c r="AM548" s="66"/>
    </row>
    <row r="549" spans="4:39" ht="17.100000000000001" customHeight="1" x14ac:dyDescent="0.3">
      <c r="D549" s="384"/>
      <c r="Z549" s="549"/>
      <c r="AM549" s="66"/>
    </row>
    <row r="550" spans="4:39" ht="17.100000000000001" customHeight="1" x14ac:dyDescent="0.3">
      <c r="D550" s="384"/>
      <c r="Z550" s="549"/>
      <c r="AM550" s="66"/>
    </row>
    <row r="551" spans="4:39" ht="17.100000000000001" customHeight="1" x14ac:dyDescent="0.3">
      <c r="D551" s="384"/>
      <c r="Z551" s="549"/>
      <c r="AM551" s="66"/>
    </row>
    <row r="552" spans="4:39" ht="17.100000000000001" customHeight="1" x14ac:dyDescent="0.3">
      <c r="D552" s="384"/>
      <c r="Z552" s="549"/>
      <c r="AM552" s="66"/>
    </row>
    <row r="553" spans="4:39" ht="17.100000000000001" customHeight="1" x14ac:dyDescent="0.3">
      <c r="D553" s="384"/>
      <c r="Z553" s="549"/>
      <c r="AM553" s="66"/>
    </row>
    <row r="554" spans="4:39" ht="17.100000000000001" customHeight="1" x14ac:dyDescent="0.3">
      <c r="D554" s="384"/>
      <c r="Z554" s="549"/>
      <c r="AM554" s="66"/>
    </row>
    <row r="555" spans="4:39" ht="17.100000000000001" customHeight="1" x14ac:dyDescent="0.3">
      <c r="D555" s="384"/>
      <c r="Z555" s="549"/>
      <c r="AM555" s="66"/>
    </row>
    <row r="556" spans="4:39" ht="17.100000000000001" customHeight="1" x14ac:dyDescent="0.3">
      <c r="D556" s="384"/>
      <c r="Z556" s="549"/>
      <c r="AM556" s="66"/>
    </row>
    <row r="557" spans="4:39" ht="17.100000000000001" customHeight="1" x14ac:dyDescent="0.3">
      <c r="D557" s="384"/>
      <c r="Z557" s="549"/>
      <c r="AM557" s="66"/>
    </row>
    <row r="558" spans="4:39" ht="17.100000000000001" customHeight="1" x14ac:dyDescent="0.3">
      <c r="D558" s="384"/>
      <c r="Z558" s="549"/>
      <c r="AM558" s="66"/>
    </row>
    <row r="559" spans="4:39" ht="17.100000000000001" customHeight="1" x14ac:dyDescent="0.3">
      <c r="D559" s="384"/>
      <c r="Z559" s="549"/>
      <c r="AM559" s="66"/>
    </row>
    <row r="560" spans="4:39" ht="17.100000000000001" customHeight="1" x14ac:dyDescent="0.3">
      <c r="D560" s="384"/>
      <c r="Z560" s="549"/>
      <c r="AM560" s="66"/>
    </row>
    <row r="561" spans="4:39" ht="17.100000000000001" customHeight="1" x14ac:dyDescent="0.3">
      <c r="D561" s="384"/>
      <c r="Z561" s="549"/>
      <c r="AM561" s="66"/>
    </row>
    <row r="562" spans="4:39" ht="17.100000000000001" customHeight="1" x14ac:dyDescent="0.3">
      <c r="D562" s="384"/>
      <c r="Z562" s="549"/>
      <c r="AM562" s="66"/>
    </row>
    <row r="563" spans="4:39" ht="17.100000000000001" customHeight="1" x14ac:dyDescent="0.3">
      <c r="D563" s="384"/>
      <c r="Z563" s="549"/>
      <c r="AM563" s="66"/>
    </row>
    <row r="564" spans="4:39" ht="17.100000000000001" customHeight="1" x14ac:dyDescent="0.3">
      <c r="D564" s="384"/>
      <c r="Z564" s="549"/>
      <c r="AM564" s="66"/>
    </row>
    <row r="565" spans="4:39" ht="17.100000000000001" customHeight="1" x14ac:dyDescent="0.3">
      <c r="D565" s="384"/>
      <c r="Z565" s="549"/>
      <c r="AM565" s="66"/>
    </row>
    <row r="566" spans="4:39" ht="17.100000000000001" customHeight="1" x14ac:dyDescent="0.3">
      <c r="D566" s="384"/>
      <c r="Z566" s="549"/>
      <c r="AM566" s="66"/>
    </row>
    <row r="567" spans="4:39" ht="17.100000000000001" customHeight="1" x14ac:dyDescent="0.3">
      <c r="D567" s="384"/>
      <c r="Z567" s="549"/>
      <c r="AM567" s="66"/>
    </row>
    <row r="568" spans="4:39" ht="17.100000000000001" customHeight="1" x14ac:dyDescent="0.3">
      <c r="D568" s="384"/>
      <c r="Z568" s="549"/>
      <c r="AM568" s="66"/>
    </row>
    <row r="569" spans="4:39" ht="17.100000000000001" customHeight="1" x14ac:dyDescent="0.3">
      <c r="D569" s="384"/>
      <c r="Z569" s="549"/>
      <c r="AM569" s="66"/>
    </row>
    <row r="570" spans="4:39" ht="17.100000000000001" customHeight="1" x14ac:dyDescent="0.3">
      <c r="D570" s="384"/>
      <c r="Z570" s="549"/>
      <c r="AM570" s="66"/>
    </row>
    <row r="571" spans="4:39" ht="17.100000000000001" customHeight="1" x14ac:dyDescent="0.3">
      <c r="D571" s="384"/>
      <c r="Z571" s="549"/>
      <c r="AM571" s="66"/>
    </row>
    <row r="572" spans="4:39" ht="17.100000000000001" customHeight="1" x14ac:dyDescent="0.3">
      <c r="D572" s="384"/>
      <c r="Z572" s="549"/>
      <c r="AM572" s="66"/>
    </row>
    <row r="573" spans="4:39" ht="17.100000000000001" customHeight="1" x14ac:dyDescent="0.3">
      <c r="D573" s="384"/>
      <c r="Z573" s="549"/>
      <c r="AM573" s="66"/>
    </row>
    <row r="574" spans="4:39" ht="17.100000000000001" customHeight="1" x14ac:dyDescent="0.3">
      <c r="D574" s="384"/>
      <c r="Z574" s="549"/>
      <c r="AM574" s="66"/>
    </row>
    <row r="575" spans="4:39" ht="17.100000000000001" customHeight="1" x14ac:dyDescent="0.3">
      <c r="D575" s="384"/>
      <c r="Z575" s="549"/>
      <c r="AM575" s="66"/>
    </row>
    <row r="576" spans="4:39" ht="17.100000000000001" customHeight="1" x14ac:dyDescent="0.3">
      <c r="D576" s="384"/>
      <c r="Z576" s="549"/>
      <c r="AM576" s="66"/>
    </row>
    <row r="577" spans="4:39" ht="17.100000000000001" customHeight="1" x14ac:dyDescent="0.3">
      <c r="D577" s="384"/>
      <c r="Z577" s="549"/>
      <c r="AM577" s="66"/>
    </row>
    <row r="578" spans="4:39" ht="17.100000000000001" customHeight="1" x14ac:dyDescent="0.3">
      <c r="D578" s="384"/>
      <c r="Z578" s="549"/>
      <c r="AM578" s="66"/>
    </row>
    <row r="579" spans="4:39" ht="17.100000000000001" customHeight="1" x14ac:dyDescent="0.3">
      <c r="D579" s="384"/>
      <c r="G579" s="455"/>
      <c r="Z579" s="549"/>
      <c r="AM579" s="66"/>
    </row>
    <row r="580" spans="4:39" ht="17.100000000000001" customHeight="1" x14ac:dyDescent="0.3">
      <c r="D580" s="384"/>
      <c r="Z580" s="549"/>
      <c r="AM580" s="66"/>
    </row>
    <row r="581" spans="4:39" ht="17.100000000000001" customHeight="1" x14ac:dyDescent="0.3">
      <c r="D581" s="384"/>
      <c r="Z581" s="549"/>
      <c r="AM581" s="66"/>
    </row>
    <row r="582" spans="4:39" ht="17.100000000000001" customHeight="1" x14ac:dyDescent="0.3">
      <c r="D582" s="384"/>
      <c r="Z582" s="549"/>
      <c r="AM582" s="66"/>
    </row>
    <row r="583" spans="4:39" ht="17.100000000000001" customHeight="1" x14ac:dyDescent="0.3">
      <c r="D583" s="384"/>
      <c r="Z583" s="549"/>
      <c r="AM583" s="66"/>
    </row>
    <row r="584" spans="4:39" ht="17.100000000000001" customHeight="1" x14ac:dyDescent="0.3">
      <c r="D584" s="384"/>
      <c r="Z584" s="549"/>
      <c r="AM584" s="66"/>
    </row>
    <row r="585" spans="4:39" ht="17.100000000000001" customHeight="1" x14ac:dyDescent="0.3">
      <c r="D585" s="384"/>
      <c r="Z585" s="549"/>
      <c r="AM585" s="66"/>
    </row>
    <row r="586" spans="4:39" ht="17.100000000000001" customHeight="1" x14ac:dyDescent="0.3">
      <c r="D586" s="384"/>
      <c r="Z586" s="549"/>
      <c r="AM586" s="66"/>
    </row>
    <row r="587" spans="4:39" ht="17.100000000000001" customHeight="1" x14ac:dyDescent="0.3">
      <c r="Z587" s="549"/>
      <c r="AM587" s="66"/>
    </row>
    <row r="588" spans="4:39" ht="17.100000000000001" customHeight="1" x14ac:dyDescent="0.3">
      <c r="Z588" s="549"/>
      <c r="AM588" s="66"/>
    </row>
    <row r="589" spans="4:39" ht="17.100000000000001" customHeight="1" x14ac:dyDescent="0.3">
      <c r="Z589" s="549"/>
      <c r="AM589" s="66"/>
    </row>
    <row r="590" spans="4:39" ht="17.100000000000001" customHeight="1" x14ac:dyDescent="0.3">
      <c r="Z590" s="549"/>
      <c r="AM590" s="66"/>
    </row>
    <row r="591" spans="4:39" ht="17.100000000000001" customHeight="1" x14ac:dyDescent="0.3">
      <c r="Z591" s="549"/>
      <c r="AM591" s="66"/>
    </row>
    <row r="592" spans="4:39" ht="17.100000000000001" customHeight="1" x14ac:dyDescent="0.3">
      <c r="Z592" s="549"/>
      <c r="AM592" s="66"/>
    </row>
    <row r="593" spans="24:39" ht="17.100000000000001" customHeight="1" x14ac:dyDescent="0.3">
      <c r="Z593" s="549"/>
      <c r="AM593" s="66"/>
    </row>
    <row r="594" spans="24:39" ht="17.100000000000001" customHeight="1" x14ac:dyDescent="0.3">
      <c r="Z594" s="549"/>
      <c r="AM594" s="66"/>
    </row>
    <row r="595" spans="24:39" ht="17.100000000000001" customHeight="1" x14ac:dyDescent="0.3">
      <c r="Z595" s="549"/>
      <c r="AM595" s="66"/>
    </row>
    <row r="596" spans="24:39" ht="17.100000000000001" customHeight="1" x14ac:dyDescent="0.3">
      <c r="Z596" s="549"/>
      <c r="AM596" s="66"/>
    </row>
    <row r="597" spans="24:39" ht="17.100000000000001" customHeight="1" x14ac:dyDescent="0.3">
      <c r="Z597" s="549"/>
      <c r="AM597" s="66"/>
    </row>
    <row r="598" spans="24:39" ht="17.100000000000001" customHeight="1" x14ac:dyDescent="0.3">
      <c r="Z598" s="549"/>
      <c r="AM598" s="66"/>
    </row>
    <row r="599" spans="24:39" ht="17.100000000000001" customHeight="1" x14ac:dyDescent="0.3">
      <c r="Z599" s="549"/>
      <c r="AM599" s="66"/>
    </row>
    <row r="600" spans="24:39" ht="17.100000000000001" customHeight="1" x14ac:dyDescent="0.3">
      <c r="Z600" s="549"/>
      <c r="AM600" s="66"/>
    </row>
    <row r="601" spans="24:39" ht="17.100000000000001" customHeight="1" x14ac:dyDescent="0.3">
      <c r="Z601" s="549"/>
      <c r="AM601" s="66"/>
    </row>
    <row r="602" spans="24:39" ht="17.100000000000001" customHeight="1" x14ac:dyDescent="0.3">
      <c r="X602" s="779">
        <v>46112</v>
      </c>
      <c r="Z602" s="549"/>
      <c r="AM602" s="66"/>
    </row>
    <row r="603" spans="24:39" ht="17.100000000000001" customHeight="1" x14ac:dyDescent="0.3">
      <c r="Z603" s="549"/>
      <c r="AM603" s="66"/>
    </row>
    <row r="604" spans="24:39" ht="17.100000000000001" customHeight="1" x14ac:dyDescent="0.3">
      <c r="Z604" s="549"/>
      <c r="AM604" s="66"/>
    </row>
    <row r="605" spans="24:39" ht="17.100000000000001" customHeight="1" x14ac:dyDescent="0.3">
      <c r="Z605" s="549"/>
      <c r="AM605" s="66"/>
    </row>
    <row r="606" spans="24:39" ht="17.100000000000001" customHeight="1" x14ac:dyDescent="0.3">
      <c r="Z606" s="549"/>
      <c r="AM606" s="66"/>
    </row>
    <row r="607" spans="24:39" ht="17.100000000000001" customHeight="1" x14ac:dyDescent="0.3">
      <c r="Z607" s="549"/>
      <c r="AM607" s="66"/>
    </row>
    <row r="608" spans="24:39" ht="17.100000000000001" customHeight="1" x14ac:dyDescent="0.3">
      <c r="Z608" s="549"/>
      <c r="AM608" s="66"/>
    </row>
    <row r="609" spans="26:39" ht="17.100000000000001" customHeight="1" x14ac:dyDescent="0.3">
      <c r="Z609" s="549"/>
      <c r="AM609" s="66"/>
    </row>
    <row r="610" spans="26:39" ht="17.100000000000001" customHeight="1" x14ac:dyDescent="0.3">
      <c r="Z610" s="549"/>
      <c r="AM610" s="66"/>
    </row>
    <row r="611" spans="26:39" ht="17.100000000000001" customHeight="1" x14ac:dyDescent="0.3">
      <c r="Z611" s="549"/>
      <c r="AM611" s="66"/>
    </row>
    <row r="612" spans="26:39" ht="17.100000000000001" customHeight="1" x14ac:dyDescent="0.3">
      <c r="Z612" s="549"/>
      <c r="AM612" s="66"/>
    </row>
    <row r="613" spans="26:39" ht="17.100000000000001" customHeight="1" x14ac:dyDescent="0.3">
      <c r="Z613" s="549"/>
      <c r="AM613" s="66"/>
    </row>
    <row r="614" spans="26:39" ht="17.100000000000001" customHeight="1" x14ac:dyDescent="0.3">
      <c r="Z614" s="549"/>
      <c r="AM614" s="66"/>
    </row>
    <row r="615" spans="26:39" ht="17.100000000000001" customHeight="1" x14ac:dyDescent="0.3">
      <c r="Z615" s="549"/>
      <c r="AM615" s="66"/>
    </row>
    <row r="616" spans="26:39" ht="17.100000000000001" customHeight="1" x14ac:dyDescent="0.3">
      <c r="Z616" s="549"/>
      <c r="AM616" s="66"/>
    </row>
    <row r="617" spans="26:39" ht="17.100000000000001" customHeight="1" x14ac:dyDescent="0.3">
      <c r="Z617" s="549"/>
      <c r="AM617" s="66"/>
    </row>
    <row r="618" spans="26:39" ht="17.100000000000001" customHeight="1" x14ac:dyDescent="0.3">
      <c r="Z618" s="549"/>
      <c r="AM618" s="66"/>
    </row>
    <row r="619" spans="26:39" ht="17.100000000000001" customHeight="1" x14ac:dyDescent="0.3">
      <c r="Z619" s="549"/>
      <c r="AM619" s="66"/>
    </row>
    <row r="620" spans="26:39" ht="17.100000000000001" customHeight="1" x14ac:dyDescent="0.3">
      <c r="Z620" s="549"/>
      <c r="AM620" s="66"/>
    </row>
    <row r="621" spans="26:39" ht="17.100000000000001" customHeight="1" x14ac:dyDescent="0.3">
      <c r="Z621" s="549"/>
      <c r="AM621" s="66"/>
    </row>
    <row r="622" spans="26:39" ht="17.100000000000001" customHeight="1" x14ac:dyDescent="0.3">
      <c r="Z622" s="549"/>
      <c r="AM622" s="66"/>
    </row>
    <row r="623" spans="26:39" ht="17.100000000000001" customHeight="1" x14ac:dyDescent="0.3">
      <c r="Z623" s="549"/>
      <c r="AM623" s="66"/>
    </row>
    <row r="624" spans="26:39" ht="17.100000000000001" customHeight="1" x14ac:dyDescent="0.3">
      <c r="Z624" s="549"/>
      <c r="AM624" s="66"/>
    </row>
    <row r="625" spans="26:42" ht="17.100000000000001" customHeight="1" x14ac:dyDescent="0.3">
      <c r="Z625" s="549"/>
      <c r="AM625" s="66"/>
    </row>
    <row r="626" spans="26:42" ht="17.100000000000001" customHeight="1" x14ac:dyDescent="0.3">
      <c r="Z626" s="549"/>
      <c r="AM626" s="66"/>
    </row>
    <row r="627" spans="26:42" ht="17.100000000000001" customHeight="1" x14ac:dyDescent="0.3">
      <c r="Z627" s="549"/>
      <c r="AM627" s="66"/>
    </row>
    <row r="628" spans="26:42" ht="17.100000000000001" customHeight="1" x14ac:dyDescent="0.3">
      <c r="Z628" s="549"/>
      <c r="AM628" s="66"/>
    </row>
    <row r="629" spans="26:42" ht="17.100000000000001" customHeight="1" x14ac:dyDescent="0.3">
      <c r="Z629" s="549"/>
      <c r="AM629" s="66"/>
    </row>
    <row r="630" spans="26:42" ht="17.100000000000001" customHeight="1" x14ac:dyDescent="0.3">
      <c r="Z630" s="549"/>
      <c r="AM630" s="66"/>
    </row>
    <row r="631" spans="26:42" ht="17.100000000000001" customHeight="1" x14ac:dyDescent="0.3">
      <c r="Z631" s="549"/>
      <c r="AM631" s="66"/>
    </row>
    <row r="632" spans="26:42" ht="17.100000000000001" customHeight="1" x14ac:dyDescent="0.3">
      <c r="Z632" s="549"/>
      <c r="AM632" s="66"/>
    </row>
    <row r="633" spans="26:42" ht="17.100000000000001" customHeight="1" x14ac:dyDescent="0.3">
      <c r="Z633" s="549"/>
      <c r="AM633" s="66"/>
      <c r="AP633" s="39">
        <v>820000</v>
      </c>
    </row>
    <row r="634" spans="26:42" ht="17.100000000000001" customHeight="1" x14ac:dyDescent="0.3">
      <c r="Z634" s="549"/>
      <c r="AM634" s="66"/>
    </row>
    <row r="635" spans="26:42" ht="17.100000000000001" customHeight="1" x14ac:dyDescent="0.3">
      <c r="Z635" s="549"/>
      <c r="AM635" s="66"/>
    </row>
    <row r="636" spans="26:42" ht="17.100000000000001" customHeight="1" x14ac:dyDescent="0.3">
      <c r="Z636" s="549"/>
      <c r="AM636" s="66"/>
    </row>
    <row r="637" spans="26:42" ht="17.100000000000001" customHeight="1" x14ac:dyDescent="0.3">
      <c r="Z637" s="549"/>
      <c r="AM637" s="66"/>
    </row>
    <row r="638" spans="26:42" ht="17.100000000000001" customHeight="1" x14ac:dyDescent="0.3">
      <c r="Z638" s="549"/>
      <c r="AM638" s="66"/>
      <c r="AO638" s="321">
        <v>45125</v>
      </c>
    </row>
    <row r="639" spans="26:42" ht="17.100000000000001" customHeight="1" x14ac:dyDescent="0.3">
      <c r="Z639" s="549"/>
      <c r="AM639" s="66"/>
    </row>
    <row r="640" spans="26:42" ht="17.100000000000001" customHeight="1" x14ac:dyDescent="0.3">
      <c r="Z640" s="549"/>
    </row>
    <row r="641" spans="26:26" ht="17.100000000000001" customHeight="1" x14ac:dyDescent="0.3">
      <c r="Z641" s="549"/>
    </row>
    <row r="642" spans="26:26" ht="17.100000000000001" customHeight="1" x14ac:dyDescent="0.3">
      <c r="Z642" s="549"/>
    </row>
    <row r="643" spans="26:26" ht="17.100000000000001" customHeight="1" x14ac:dyDescent="0.3">
      <c r="Z643" s="549"/>
    </row>
    <row r="644" spans="26:26" ht="17.100000000000001" customHeight="1" x14ac:dyDescent="0.3">
      <c r="Z644" s="549"/>
    </row>
    <row r="645" spans="26:26" ht="17.100000000000001" customHeight="1" x14ac:dyDescent="0.3">
      <c r="Z645" s="549"/>
    </row>
    <row r="646" spans="26:26" ht="17.100000000000001" customHeight="1" x14ac:dyDescent="0.3">
      <c r="Z646" s="549"/>
    </row>
    <row r="647" spans="26:26" ht="17.100000000000001" customHeight="1" x14ac:dyDescent="0.3">
      <c r="Z647" s="549"/>
    </row>
    <row r="648" spans="26:26" ht="17.100000000000001" customHeight="1" x14ac:dyDescent="0.3">
      <c r="Z648" s="549"/>
    </row>
    <row r="649" spans="26:26" ht="17.100000000000001" customHeight="1" x14ac:dyDescent="0.3">
      <c r="Z649" s="549"/>
    </row>
    <row r="650" spans="26:26" ht="17.100000000000001" customHeight="1" x14ac:dyDescent="0.3">
      <c r="Z650" s="549"/>
    </row>
    <row r="651" spans="26:26" ht="17.100000000000001" customHeight="1" x14ac:dyDescent="0.3">
      <c r="Z651" s="549"/>
    </row>
    <row r="652" spans="26:26" ht="17.100000000000001" customHeight="1" x14ac:dyDescent="0.3">
      <c r="Z652" s="549"/>
    </row>
    <row r="653" spans="26:26" ht="17.100000000000001" customHeight="1" x14ac:dyDescent="0.3">
      <c r="Z653" s="549"/>
    </row>
    <row r="654" spans="26:26" ht="17.100000000000001" customHeight="1" x14ac:dyDescent="0.3">
      <c r="Z654" s="549"/>
    </row>
    <row r="655" spans="26:26" ht="17.100000000000001" customHeight="1" x14ac:dyDescent="0.3">
      <c r="Z655" s="549"/>
    </row>
    <row r="656" spans="26:26" ht="17.100000000000001" customHeight="1" x14ac:dyDescent="0.3">
      <c r="Z656" s="549"/>
    </row>
    <row r="657" spans="14:26" ht="17.100000000000001" customHeight="1" x14ac:dyDescent="0.3">
      <c r="Z657" s="549"/>
    </row>
    <row r="658" spans="14:26" ht="17.100000000000001" customHeight="1" x14ac:dyDescent="0.3">
      <c r="Z658" s="549"/>
    </row>
    <row r="659" spans="14:26" ht="17.100000000000001" customHeight="1" x14ac:dyDescent="0.3">
      <c r="Z659" s="549"/>
    </row>
    <row r="660" spans="14:26" ht="17.100000000000001" customHeight="1" x14ac:dyDescent="0.3">
      <c r="Z660" s="549"/>
    </row>
    <row r="661" spans="14:26" ht="17.100000000000001" customHeight="1" x14ac:dyDescent="0.3">
      <c r="Z661" s="549"/>
    </row>
    <row r="662" spans="14:26" ht="17.100000000000001" customHeight="1" x14ac:dyDescent="0.3">
      <c r="Z662" s="549"/>
    </row>
    <row r="663" spans="14:26" ht="17.100000000000001" customHeight="1" x14ac:dyDescent="0.3">
      <c r="Z663" s="549"/>
    </row>
    <row r="664" spans="14:26" ht="17.100000000000001" customHeight="1" x14ac:dyDescent="0.3">
      <c r="Z664" s="549"/>
    </row>
    <row r="665" spans="14:26" ht="17.100000000000001" customHeight="1" x14ac:dyDescent="0.3">
      <c r="Z665" s="549"/>
    </row>
    <row r="666" spans="14:26" ht="17.100000000000001" customHeight="1" x14ac:dyDescent="0.3">
      <c r="Z666" s="549"/>
    </row>
    <row r="667" spans="14:26" ht="17.100000000000001" customHeight="1" x14ac:dyDescent="0.3">
      <c r="Z667" s="549"/>
    </row>
    <row r="668" spans="14:26" ht="17.100000000000001" customHeight="1" x14ac:dyDescent="0.3">
      <c r="Z668" s="549"/>
    </row>
    <row r="669" spans="14:26" ht="17.100000000000001" customHeight="1" x14ac:dyDescent="0.3">
      <c r="N669" s="49">
        <v>1080</v>
      </c>
      <c r="Z669" s="549"/>
    </row>
    <row r="670" spans="14:26" ht="17.100000000000001" customHeight="1" x14ac:dyDescent="0.3">
      <c r="Z670" s="549"/>
    </row>
    <row r="671" spans="14:26" ht="17.100000000000001" customHeight="1" x14ac:dyDescent="0.3">
      <c r="Z671" s="549"/>
    </row>
    <row r="672" spans="14:26" ht="17.100000000000001" customHeight="1" x14ac:dyDescent="0.3">
      <c r="Z672" s="549"/>
    </row>
    <row r="673" spans="26:37" ht="17.100000000000001" customHeight="1" x14ac:dyDescent="0.3">
      <c r="Z673" s="549"/>
      <c r="AK673" s="321">
        <v>45702</v>
      </c>
    </row>
    <row r="674" spans="26:37" ht="17.100000000000001" customHeight="1" x14ac:dyDescent="0.3">
      <c r="Z674" s="549"/>
    </row>
    <row r="675" spans="26:37" ht="17.100000000000001" customHeight="1" x14ac:dyDescent="0.3">
      <c r="Z675" s="549"/>
    </row>
    <row r="676" spans="26:37" ht="17.100000000000001" customHeight="1" x14ac:dyDescent="0.3">
      <c r="Z676" s="549"/>
    </row>
    <row r="677" spans="26:37" ht="17.100000000000001" customHeight="1" x14ac:dyDescent="0.3">
      <c r="Z677" s="549"/>
    </row>
    <row r="678" spans="26:37" ht="17.100000000000001" customHeight="1" x14ac:dyDescent="0.3">
      <c r="Z678" s="549"/>
    </row>
    <row r="679" spans="26:37" ht="17.100000000000001" customHeight="1" x14ac:dyDescent="0.3">
      <c r="Z679" s="549"/>
    </row>
    <row r="680" spans="26:37" ht="17.100000000000001" customHeight="1" x14ac:dyDescent="0.3">
      <c r="Z680" s="549"/>
    </row>
    <row r="681" spans="26:37" ht="17.100000000000001" customHeight="1" x14ac:dyDescent="0.3">
      <c r="Z681" s="549"/>
    </row>
    <row r="682" spans="26:37" ht="17.100000000000001" customHeight="1" x14ac:dyDescent="0.3">
      <c r="Z682" s="549"/>
    </row>
    <row r="683" spans="26:37" ht="17.100000000000001" customHeight="1" x14ac:dyDescent="0.3">
      <c r="Z683" s="549"/>
    </row>
    <row r="684" spans="26:37" ht="17.100000000000001" customHeight="1" x14ac:dyDescent="0.3">
      <c r="Z684" s="549"/>
    </row>
    <row r="685" spans="26:37" ht="17.100000000000001" customHeight="1" x14ac:dyDescent="0.3">
      <c r="Z685" s="549"/>
    </row>
    <row r="686" spans="26:37" ht="17.100000000000001" customHeight="1" x14ac:dyDescent="0.3">
      <c r="Z686" s="549"/>
    </row>
    <row r="687" spans="26:37" ht="17.100000000000001" customHeight="1" x14ac:dyDescent="0.3">
      <c r="Z687" s="549"/>
    </row>
    <row r="688" spans="26:37" ht="17.100000000000001" customHeight="1" x14ac:dyDescent="0.3">
      <c r="Z688" s="549"/>
    </row>
    <row r="689" spans="2:26" ht="17.100000000000001" customHeight="1" x14ac:dyDescent="0.3">
      <c r="Z689" s="549"/>
    </row>
    <row r="690" spans="2:26" ht="17.100000000000001" customHeight="1" x14ac:dyDescent="0.3">
      <c r="Z690" s="549"/>
    </row>
    <row r="691" spans="2:26" ht="17.100000000000001" customHeight="1" x14ac:dyDescent="0.3">
      <c r="Z691" s="549"/>
    </row>
    <row r="692" spans="2:26" ht="17.100000000000001" customHeight="1" x14ac:dyDescent="0.3">
      <c r="Z692" s="549"/>
    </row>
    <row r="693" spans="2:26" ht="17.100000000000001" customHeight="1" x14ac:dyDescent="0.3">
      <c r="J693" s="455" t="s">
        <v>901</v>
      </c>
      <c r="Z693" s="549"/>
    </row>
    <row r="694" spans="2:26" ht="17.100000000000001" customHeight="1" x14ac:dyDescent="0.3">
      <c r="Z694" s="549"/>
    </row>
    <row r="695" spans="2:26" ht="17.100000000000001" customHeight="1" x14ac:dyDescent="0.3">
      <c r="Z695" s="549"/>
    </row>
    <row r="696" spans="2:26" ht="17.100000000000001" customHeight="1" x14ac:dyDescent="0.3">
      <c r="Z696" s="549"/>
    </row>
    <row r="697" spans="2:26" ht="17.100000000000001" customHeight="1" x14ac:dyDescent="0.3">
      <c r="Z697" s="549"/>
    </row>
    <row r="698" spans="2:26" ht="17.100000000000001" customHeight="1" x14ac:dyDescent="0.3">
      <c r="Z698" s="549"/>
    </row>
    <row r="699" spans="2:26" ht="17.100000000000001" customHeight="1" x14ac:dyDescent="0.3">
      <c r="Z699" s="549"/>
    </row>
    <row r="700" spans="2:26" ht="17.100000000000001" customHeight="1" x14ac:dyDescent="0.3">
      <c r="Z700" s="549"/>
    </row>
    <row r="701" spans="2:26" ht="17.100000000000001" customHeight="1" x14ac:dyDescent="0.3">
      <c r="B701" s="548"/>
      <c r="C701" s="548"/>
      <c r="D701" s="548"/>
      <c r="E701" s="11"/>
      <c r="F701" s="11"/>
      <c r="G701" s="548"/>
      <c r="H701" s="547"/>
      <c r="I701" s="13"/>
      <c r="J701" s="548"/>
      <c r="K701" s="58"/>
      <c r="L701" s="58"/>
      <c r="M701" s="58"/>
      <c r="N701" s="548"/>
      <c r="O701" s="548"/>
      <c r="P701" s="548"/>
      <c r="Q701" s="548"/>
      <c r="R701" s="548"/>
      <c r="S701" s="547"/>
      <c r="T701" s="547"/>
      <c r="U701" s="548"/>
      <c r="V701" s="463"/>
      <c r="Z701" s="549"/>
    </row>
    <row r="702" spans="2:26" ht="17.100000000000001" customHeight="1" x14ac:dyDescent="0.3">
      <c r="Z702" s="549"/>
    </row>
    <row r="703" spans="2:26" ht="17.100000000000001" customHeight="1" x14ac:dyDescent="0.3">
      <c r="Z703" s="549"/>
    </row>
    <row r="704" spans="2:26" ht="17.100000000000001" customHeight="1" x14ac:dyDescent="0.3">
      <c r="Z704" s="549"/>
    </row>
    <row r="705" spans="14:26" ht="17.100000000000001" customHeight="1" x14ac:dyDescent="0.3">
      <c r="Z705" s="549"/>
    </row>
    <row r="706" spans="14:26" ht="17.100000000000001" customHeight="1" x14ac:dyDescent="0.3">
      <c r="Z706" s="549"/>
    </row>
    <row r="707" spans="14:26" ht="17.100000000000001" customHeight="1" x14ac:dyDescent="0.3">
      <c r="Z707" s="549"/>
    </row>
    <row r="708" spans="14:26" ht="17.100000000000001" customHeight="1" x14ac:dyDescent="0.3">
      <c r="Z708" s="549"/>
    </row>
    <row r="709" spans="14:26" ht="17.100000000000001" customHeight="1" x14ac:dyDescent="0.3">
      <c r="Z709" s="549"/>
    </row>
    <row r="710" spans="14:26" ht="17.100000000000001" customHeight="1" x14ac:dyDescent="0.3">
      <c r="N710" s="49">
        <v>1550000</v>
      </c>
      <c r="Z710" s="549"/>
    </row>
    <row r="711" spans="14:26" ht="17.100000000000001" customHeight="1" x14ac:dyDescent="0.3">
      <c r="Z711" s="549"/>
    </row>
    <row r="712" spans="14:26" ht="17.100000000000001" customHeight="1" x14ac:dyDescent="0.3">
      <c r="Z712" s="549"/>
    </row>
    <row r="713" spans="14:26" ht="17.100000000000001" customHeight="1" x14ac:dyDescent="0.3">
      <c r="Z713" s="549"/>
    </row>
    <row r="714" spans="14:26" ht="17.100000000000001" customHeight="1" x14ac:dyDescent="0.3">
      <c r="Z714" s="549"/>
    </row>
    <row r="715" spans="14:26" ht="17.100000000000001" customHeight="1" x14ac:dyDescent="0.3">
      <c r="Z715" s="549"/>
    </row>
    <row r="716" spans="14:26" ht="17.100000000000001" customHeight="1" x14ac:dyDescent="0.3">
      <c r="Z716" s="549"/>
    </row>
    <row r="717" spans="14:26" ht="17.100000000000001" customHeight="1" x14ac:dyDescent="0.3">
      <c r="Z717" s="549"/>
    </row>
    <row r="718" spans="14:26" ht="17.100000000000001" customHeight="1" x14ac:dyDescent="0.3">
      <c r="Z718" s="549"/>
    </row>
    <row r="719" spans="14:26" ht="17.100000000000001" customHeight="1" x14ac:dyDescent="0.3">
      <c r="Z719" s="549"/>
    </row>
    <row r="720" spans="14:26" ht="17.100000000000001" customHeight="1" x14ac:dyDescent="0.3">
      <c r="Z720" s="549"/>
    </row>
    <row r="721" spans="12:26" ht="17.100000000000001" customHeight="1" x14ac:dyDescent="0.3">
      <c r="Z721" s="549"/>
    </row>
    <row r="722" spans="12:26" ht="17.100000000000001" customHeight="1" x14ac:dyDescent="0.3">
      <c r="L722" s="66">
        <v>660000</v>
      </c>
      <c r="Z722" s="549"/>
    </row>
    <row r="723" spans="12:26" ht="17.100000000000001" customHeight="1" x14ac:dyDescent="0.3">
      <c r="Z723" s="549"/>
    </row>
    <row r="724" spans="12:26" ht="17.100000000000001" customHeight="1" x14ac:dyDescent="0.3">
      <c r="Z724" s="549"/>
    </row>
    <row r="725" spans="12:26" ht="17.100000000000001" customHeight="1" x14ac:dyDescent="0.3">
      <c r="N725" s="49">
        <v>1380000</v>
      </c>
      <c r="Z725" s="549"/>
    </row>
    <row r="726" spans="12:26" ht="17.100000000000001" customHeight="1" x14ac:dyDescent="0.3">
      <c r="Z726" s="549"/>
    </row>
    <row r="727" spans="12:26" ht="17.100000000000001" customHeight="1" x14ac:dyDescent="0.3">
      <c r="Z727" s="549"/>
    </row>
    <row r="728" spans="12:26" ht="17.100000000000001" customHeight="1" x14ac:dyDescent="0.3">
      <c r="Z728" s="549"/>
    </row>
    <row r="729" spans="12:26" ht="17.100000000000001" customHeight="1" x14ac:dyDescent="0.3">
      <c r="Z729" s="549"/>
    </row>
    <row r="730" spans="12:26" ht="17.100000000000001" customHeight="1" x14ac:dyDescent="0.3">
      <c r="Z730" s="549"/>
    </row>
    <row r="731" spans="12:26" ht="17.100000000000001" customHeight="1" x14ac:dyDescent="0.3">
      <c r="Z731" s="549"/>
    </row>
    <row r="732" spans="12:26" ht="17.100000000000001" customHeight="1" x14ac:dyDescent="0.3">
      <c r="Z732" s="549"/>
    </row>
    <row r="733" spans="12:26" ht="17.100000000000001" customHeight="1" x14ac:dyDescent="0.3">
      <c r="Z733" s="549"/>
    </row>
    <row r="734" spans="12:26" ht="17.100000000000001" customHeight="1" x14ac:dyDescent="0.3">
      <c r="Z734" s="549"/>
    </row>
    <row r="735" spans="12:26" ht="17.100000000000001" customHeight="1" x14ac:dyDescent="0.3">
      <c r="Z735" s="549"/>
    </row>
    <row r="736" spans="12:26" ht="17.100000000000001" customHeight="1" x14ac:dyDescent="0.3">
      <c r="Z736" s="549"/>
    </row>
    <row r="737" spans="1:26" ht="17.100000000000001" customHeight="1" x14ac:dyDescent="0.3">
      <c r="Z737" s="549"/>
    </row>
    <row r="738" spans="1:26" ht="17.100000000000001" customHeight="1" x14ac:dyDescent="0.3">
      <c r="Z738" s="549"/>
    </row>
    <row r="739" spans="1:26" ht="17.100000000000001" customHeight="1" x14ac:dyDescent="0.3">
      <c r="Z739" s="549"/>
    </row>
    <row r="740" spans="1:26" ht="17.100000000000001" customHeight="1" x14ac:dyDescent="0.3">
      <c r="Z740" s="549"/>
    </row>
    <row r="741" spans="1:26" ht="17.100000000000001" customHeight="1" x14ac:dyDescent="0.3">
      <c r="Z741" s="549"/>
    </row>
    <row r="742" spans="1:26" ht="17.100000000000001" customHeight="1" x14ac:dyDescent="0.3">
      <c r="Z742" s="549"/>
    </row>
    <row r="743" spans="1:26" ht="17.100000000000001" customHeight="1" x14ac:dyDescent="0.3">
      <c r="Z743" s="549"/>
    </row>
    <row r="744" spans="1:26" ht="17.100000000000001" customHeight="1" x14ac:dyDescent="0.3">
      <c r="Z744" s="549"/>
    </row>
    <row r="745" spans="1:26" ht="17.100000000000001" customHeight="1" x14ac:dyDescent="0.3">
      <c r="Z745" s="549"/>
    </row>
    <row r="746" spans="1:26" ht="17.100000000000001" customHeight="1" x14ac:dyDescent="0.3">
      <c r="Z746" s="549"/>
    </row>
    <row r="747" spans="1:26" ht="17.100000000000001" customHeight="1" x14ac:dyDescent="0.3">
      <c r="Z747" s="549"/>
    </row>
    <row r="748" spans="1:26" ht="17.100000000000001" customHeight="1" x14ac:dyDescent="0.3">
      <c r="Z748" s="549"/>
    </row>
    <row r="749" spans="1:26" ht="17.100000000000001" customHeight="1" x14ac:dyDescent="0.3">
      <c r="A749" s="47">
        <v>24091104</v>
      </c>
      <c r="Z749" s="549"/>
    </row>
    <row r="750" spans="1:26" ht="17.100000000000001" customHeight="1" x14ac:dyDescent="0.3">
      <c r="Z750" s="549"/>
    </row>
    <row r="751" spans="1:26" ht="17.100000000000001" customHeight="1" x14ac:dyDescent="0.3">
      <c r="Z751" s="549"/>
    </row>
    <row r="752" spans="1:26" ht="17.100000000000001" customHeight="1" x14ac:dyDescent="0.3">
      <c r="Z752" s="549"/>
    </row>
    <row r="753" spans="3:26" ht="17.100000000000001" customHeight="1" x14ac:dyDescent="0.3">
      <c r="Z753" s="549"/>
    </row>
    <row r="754" spans="3:26" ht="17.100000000000001" customHeight="1" x14ac:dyDescent="0.3">
      <c r="Z754" s="549"/>
    </row>
    <row r="755" spans="3:26" ht="17.100000000000001" customHeight="1" x14ac:dyDescent="0.3">
      <c r="Z755" s="549"/>
    </row>
    <row r="756" spans="3:26" ht="17.100000000000001" customHeight="1" x14ac:dyDescent="0.3">
      <c r="C756" s="508" t="s">
        <v>645</v>
      </c>
      <c r="Z756" s="549"/>
    </row>
    <row r="757" spans="3:26" ht="17.100000000000001" customHeight="1" x14ac:dyDescent="0.3">
      <c r="Z757" s="549"/>
    </row>
    <row r="758" spans="3:26" ht="17.100000000000001" customHeight="1" x14ac:dyDescent="0.3">
      <c r="Z758" s="549"/>
    </row>
    <row r="759" spans="3:26" ht="17.100000000000001" customHeight="1" x14ac:dyDescent="0.3">
      <c r="Z759" s="549"/>
    </row>
    <row r="760" spans="3:26" ht="17.100000000000001" customHeight="1" x14ac:dyDescent="0.3">
      <c r="Z760" s="549"/>
    </row>
    <row r="761" spans="3:26" ht="17.100000000000001" customHeight="1" x14ac:dyDescent="0.3">
      <c r="Z761" s="549"/>
    </row>
    <row r="762" spans="3:26" ht="17.100000000000001" customHeight="1" x14ac:dyDescent="0.3">
      <c r="G762" s="455" t="s">
        <v>721</v>
      </c>
      <c r="Z762" s="549"/>
    </row>
    <row r="763" spans="3:26" ht="17.100000000000001" customHeight="1" x14ac:dyDescent="0.3">
      <c r="Z763" s="549"/>
    </row>
    <row r="764" spans="3:26" ht="17.100000000000001" customHeight="1" x14ac:dyDescent="0.3">
      <c r="Z764" s="549"/>
    </row>
    <row r="765" spans="3:26" ht="17.100000000000001" customHeight="1" x14ac:dyDescent="0.3">
      <c r="Z765" s="549"/>
    </row>
    <row r="766" spans="3:26" ht="17.100000000000001" customHeight="1" x14ac:dyDescent="0.3">
      <c r="Z766" s="549"/>
    </row>
    <row r="767" spans="3:26" ht="17.100000000000001" customHeight="1" x14ac:dyDescent="0.3">
      <c r="Z767" s="549"/>
    </row>
    <row r="768" spans="3:26" ht="17.100000000000001" customHeight="1" x14ac:dyDescent="0.3">
      <c r="Z768" s="549"/>
    </row>
    <row r="769" spans="21:27" ht="17.100000000000001" customHeight="1" x14ac:dyDescent="0.3">
      <c r="Z769" s="549"/>
    </row>
    <row r="770" spans="21:27" ht="17.100000000000001" customHeight="1" x14ac:dyDescent="0.3">
      <c r="Z770" s="549"/>
    </row>
    <row r="771" spans="21:27" ht="17.100000000000001" customHeight="1" x14ac:dyDescent="0.3">
      <c r="Z771" s="549"/>
    </row>
    <row r="772" spans="21:27" ht="17.100000000000001" customHeight="1" x14ac:dyDescent="0.3">
      <c r="Z772" s="549"/>
    </row>
    <row r="773" spans="21:27" ht="17.100000000000001" customHeight="1" x14ac:dyDescent="0.3">
      <c r="Z773" s="549"/>
      <c r="AA773" s="805" t="s">
        <v>956</v>
      </c>
    </row>
    <row r="774" spans="21:27" ht="17.100000000000001" customHeight="1" x14ac:dyDescent="0.3">
      <c r="Z774" s="549"/>
    </row>
    <row r="775" spans="21:27" ht="17.100000000000001" customHeight="1" x14ac:dyDescent="0.3">
      <c r="Z775" s="549"/>
    </row>
    <row r="776" spans="21:27" ht="17.100000000000001" customHeight="1" x14ac:dyDescent="0.3">
      <c r="Z776" s="549"/>
    </row>
    <row r="777" spans="21:27" ht="17.100000000000001" customHeight="1" x14ac:dyDescent="0.3">
      <c r="Z777" s="549"/>
    </row>
    <row r="778" spans="21:27" ht="17.100000000000001" customHeight="1" x14ac:dyDescent="0.3">
      <c r="Z778" s="549"/>
    </row>
    <row r="779" spans="21:27" ht="17.100000000000001" customHeight="1" x14ac:dyDescent="0.3">
      <c r="Z779" s="549"/>
    </row>
    <row r="780" spans="21:27" ht="17.100000000000001" customHeight="1" x14ac:dyDescent="0.3">
      <c r="Z780" s="549"/>
    </row>
    <row r="781" spans="21:27" ht="17.100000000000001" customHeight="1" x14ac:dyDescent="0.3">
      <c r="U781" s="779">
        <v>46142</v>
      </c>
      <c r="Z781" s="549"/>
    </row>
    <row r="782" spans="21:27" ht="17.100000000000001" customHeight="1" x14ac:dyDescent="0.3">
      <c r="Z782" s="549"/>
    </row>
    <row r="783" spans="21:27" ht="17.100000000000001" customHeight="1" x14ac:dyDescent="0.3">
      <c r="X783" s="786" t="s">
        <v>944</v>
      </c>
      <c r="Z783" s="549"/>
    </row>
    <row r="784" spans="21:27" ht="17.100000000000001" customHeight="1" x14ac:dyDescent="0.3">
      <c r="Z784" s="549"/>
    </row>
    <row r="785" spans="8:26" ht="17.100000000000001" customHeight="1" x14ac:dyDescent="0.3">
      <c r="Z785" s="549"/>
    </row>
    <row r="786" spans="8:26" ht="17.100000000000001" customHeight="1" x14ac:dyDescent="0.3">
      <c r="Z786" s="549"/>
    </row>
    <row r="787" spans="8:26" ht="17.100000000000001" customHeight="1" x14ac:dyDescent="0.3">
      <c r="Z787" s="549"/>
    </row>
    <row r="788" spans="8:26" ht="17.100000000000001" customHeight="1" x14ac:dyDescent="0.3">
      <c r="Z788" s="787" t="s">
        <v>945</v>
      </c>
    </row>
    <row r="789" spans="8:26" ht="17.100000000000001" customHeight="1" x14ac:dyDescent="0.3">
      <c r="Z789" s="549"/>
    </row>
    <row r="790" spans="8:26" ht="17.100000000000001" customHeight="1" x14ac:dyDescent="0.3">
      <c r="Z790" s="549"/>
    </row>
    <row r="791" spans="8:26" ht="17.100000000000001" customHeight="1" x14ac:dyDescent="0.3">
      <c r="Z791" s="549"/>
    </row>
    <row r="792" spans="8:26" ht="17.100000000000001" customHeight="1" x14ac:dyDescent="0.3">
      <c r="Z792" s="549"/>
    </row>
    <row r="793" spans="8:26" ht="17.100000000000001" customHeight="1" x14ac:dyDescent="0.3">
      <c r="Z793" s="549"/>
    </row>
    <row r="794" spans="8:26" ht="17.100000000000001" customHeight="1" x14ac:dyDescent="0.3">
      <c r="Z794" s="549"/>
    </row>
    <row r="795" spans="8:26" ht="17.100000000000001" customHeight="1" x14ac:dyDescent="0.3">
      <c r="Z795" s="549"/>
    </row>
    <row r="796" spans="8:26" ht="17.100000000000001" customHeight="1" x14ac:dyDescent="0.3">
      <c r="N796" s="49">
        <v>710000</v>
      </c>
      <c r="Z796" s="549"/>
    </row>
    <row r="797" spans="8:26" ht="17.100000000000001" customHeight="1" x14ac:dyDescent="0.3">
      <c r="H797" s="254" t="s">
        <v>949</v>
      </c>
      <c r="Z797" s="549"/>
    </row>
    <row r="798" spans="8:26" ht="17.100000000000001" customHeight="1" x14ac:dyDescent="0.3">
      <c r="Z798" s="549"/>
    </row>
    <row r="799" spans="8:26" ht="17.100000000000001" customHeight="1" x14ac:dyDescent="0.3">
      <c r="Z799" s="549"/>
    </row>
    <row r="800" spans="8:26" ht="17.100000000000001" customHeight="1" x14ac:dyDescent="0.3">
      <c r="Z800" s="549"/>
    </row>
    <row r="801" spans="26:26" ht="17.100000000000001" customHeight="1" x14ac:dyDescent="0.3">
      <c r="Z801" s="549"/>
    </row>
    <row r="802" spans="26:26" ht="17.100000000000001" customHeight="1" x14ac:dyDescent="0.3">
      <c r="Z802" s="549"/>
    </row>
    <row r="803" spans="26:26" ht="17.100000000000001" customHeight="1" x14ac:dyDescent="0.3">
      <c r="Z803" s="549"/>
    </row>
    <row r="804" spans="26:26" ht="17.100000000000001" customHeight="1" x14ac:dyDescent="0.3">
      <c r="Z804" s="549"/>
    </row>
    <row r="805" spans="26:26" ht="17.100000000000001" customHeight="1" x14ac:dyDescent="0.3">
      <c r="Z805" s="549"/>
    </row>
    <row r="806" spans="26:26" ht="17.100000000000001" customHeight="1" x14ac:dyDescent="0.3">
      <c r="Z806" s="549"/>
    </row>
    <row r="807" spans="26:26" ht="17.100000000000001" customHeight="1" x14ac:dyDescent="0.3">
      <c r="Z807" s="549"/>
    </row>
    <row r="808" spans="26:26" ht="17.100000000000001" customHeight="1" x14ac:dyDescent="0.3">
      <c r="Z808" s="549"/>
    </row>
    <row r="809" spans="26:26" ht="17.100000000000001" customHeight="1" x14ac:dyDescent="0.3">
      <c r="Z809" s="549"/>
    </row>
    <row r="810" spans="26:26" ht="17.100000000000001" customHeight="1" x14ac:dyDescent="0.3">
      <c r="Z810" s="549"/>
    </row>
    <row r="811" spans="26:26" ht="17.100000000000001" customHeight="1" x14ac:dyDescent="0.3">
      <c r="Z811" s="549"/>
    </row>
    <row r="812" spans="26:26" ht="17.100000000000001" customHeight="1" x14ac:dyDescent="0.3">
      <c r="Z812" s="549"/>
    </row>
    <row r="813" spans="26:26" ht="17.100000000000001" customHeight="1" x14ac:dyDescent="0.3">
      <c r="Z813" s="549"/>
    </row>
    <row r="814" spans="26:26" ht="17.100000000000001" customHeight="1" x14ac:dyDescent="0.3">
      <c r="Z814" s="549"/>
    </row>
    <row r="815" spans="26:26" ht="17.100000000000001" customHeight="1" x14ac:dyDescent="0.3">
      <c r="Z815" s="549"/>
    </row>
    <row r="816" spans="26:26" ht="17.100000000000001" customHeight="1" x14ac:dyDescent="0.3">
      <c r="Z816" s="549"/>
    </row>
    <row r="817" spans="26:43" ht="17.100000000000001" customHeight="1" x14ac:dyDescent="0.3">
      <c r="Z817" s="549"/>
    </row>
    <row r="818" spans="26:43" ht="17.100000000000001" customHeight="1" x14ac:dyDescent="0.3">
      <c r="Z818" s="549"/>
    </row>
    <row r="819" spans="26:43" ht="17.100000000000001" customHeight="1" x14ac:dyDescent="0.3">
      <c r="Z819" s="549"/>
    </row>
    <row r="820" spans="26:43" ht="17.100000000000001" customHeight="1" x14ac:dyDescent="0.3">
      <c r="Z820" s="549"/>
    </row>
    <row r="821" spans="26:43" ht="17.100000000000001" customHeight="1" x14ac:dyDescent="0.3">
      <c r="Z821" s="549"/>
    </row>
    <row r="822" spans="26:43" ht="17.100000000000001" customHeight="1" x14ac:dyDescent="0.3">
      <c r="Z822" s="549"/>
    </row>
    <row r="823" spans="26:43" ht="17.100000000000001" customHeight="1" x14ac:dyDescent="0.3">
      <c r="Z823" s="549"/>
      <c r="AQ823" s="321">
        <v>46112</v>
      </c>
    </row>
    <row r="824" spans="26:43" ht="17.100000000000001" customHeight="1" x14ac:dyDescent="0.3">
      <c r="Z824" s="549"/>
    </row>
    <row r="825" spans="26:43" ht="17.100000000000001" customHeight="1" x14ac:dyDescent="0.3">
      <c r="Z825" s="549"/>
    </row>
    <row r="826" spans="26:43" ht="17.100000000000001" customHeight="1" x14ac:dyDescent="0.3">
      <c r="Z826" s="549"/>
    </row>
    <row r="827" spans="26:43" ht="17.100000000000001" customHeight="1" x14ac:dyDescent="0.3">
      <c r="Z827" s="787" t="s">
        <v>1026</v>
      </c>
    </row>
    <row r="828" spans="26:43" ht="17.100000000000001" customHeight="1" x14ac:dyDescent="0.3">
      <c r="Z828" s="549"/>
    </row>
    <row r="829" spans="26:43" ht="17.100000000000001" customHeight="1" x14ac:dyDescent="0.3">
      <c r="Z829" s="549"/>
    </row>
    <row r="830" spans="26:43" ht="17.100000000000001" customHeight="1" x14ac:dyDescent="0.3">
      <c r="Z830" s="549"/>
    </row>
    <row r="831" spans="26:43" ht="17.100000000000001" customHeight="1" x14ac:dyDescent="0.3">
      <c r="Z831" s="549"/>
    </row>
    <row r="832" spans="26:43" ht="17.100000000000001" customHeight="1" x14ac:dyDescent="0.3">
      <c r="Z832" s="549"/>
    </row>
    <row r="833" spans="11:26" ht="17.100000000000001" customHeight="1" x14ac:dyDescent="0.3">
      <c r="Z833" s="549"/>
    </row>
    <row r="834" spans="11:26" ht="17.100000000000001" customHeight="1" x14ac:dyDescent="0.3">
      <c r="K834" s="591" t="s">
        <v>1027</v>
      </c>
      <c r="Z834" s="549"/>
    </row>
    <row r="835" spans="11:26" ht="17.100000000000001" customHeight="1" x14ac:dyDescent="0.3">
      <c r="Z835" s="549"/>
    </row>
    <row r="836" spans="11:26" ht="17.100000000000001" customHeight="1" x14ac:dyDescent="0.3">
      <c r="Z836" s="549"/>
    </row>
    <row r="837" spans="11:26" ht="17.100000000000001" customHeight="1" x14ac:dyDescent="0.3">
      <c r="Z837" s="549"/>
    </row>
    <row r="838" spans="11:26" ht="17.100000000000001" customHeight="1" x14ac:dyDescent="0.3">
      <c r="Z838" s="549"/>
    </row>
    <row r="839" spans="11:26" ht="17.100000000000001" customHeight="1" x14ac:dyDescent="0.3">
      <c r="Z839" s="549"/>
    </row>
    <row r="840" spans="11:26" ht="17.100000000000001" customHeight="1" x14ac:dyDescent="0.3">
      <c r="Z840" s="549"/>
    </row>
    <row r="841" spans="11:26" ht="17.100000000000001" customHeight="1" x14ac:dyDescent="0.3">
      <c r="Z841" s="549"/>
    </row>
    <row r="842" spans="11:26" ht="17.100000000000001" customHeight="1" x14ac:dyDescent="0.3">
      <c r="Z842" s="549"/>
    </row>
    <row r="843" spans="11:26" ht="17.100000000000001" customHeight="1" x14ac:dyDescent="0.3">
      <c r="Z843" s="549"/>
    </row>
    <row r="844" spans="11:26" ht="17.100000000000001" customHeight="1" x14ac:dyDescent="0.3">
      <c r="Z844" s="549"/>
    </row>
    <row r="845" spans="11:26" ht="17.100000000000001" customHeight="1" x14ac:dyDescent="0.3">
      <c r="K845" s="462"/>
      <c r="Z845" s="549"/>
    </row>
    <row r="846" spans="11:26" ht="17.100000000000001" customHeight="1" x14ac:dyDescent="0.3">
      <c r="Z846" s="549"/>
    </row>
    <row r="847" spans="11:26" ht="17.100000000000001" customHeight="1" x14ac:dyDescent="0.3">
      <c r="Z847" s="549"/>
    </row>
    <row r="848" spans="11:26" ht="17.100000000000001" customHeight="1" x14ac:dyDescent="0.3">
      <c r="Z848" s="549"/>
    </row>
    <row r="849" spans="22:26" ht="17.100000000000001" customHeight="1" x14ac:dyDescent="0.3">
      <c r="Z849" s="549"/>
    </row>
    <row r="850" spans="22:26" ht="17.100000000000001" customHeight="1" x14ac:dyDescent="0.3">
      <c r="Z850" s="549"/>
    </row>
    <row r="851" spans="22:26" ht="17.100000000000001" customHeight="1" x14ac:dyDescent="0.3">
      <c r="Z851" s="549"/>
    </row>
    <row r="852" spans="22:26" ht="17.100000000000001" customHeight="1" x14ac:dyDescent="0.3">
      <c r="Z852" s="549"/>
    </row>
    <row r="853" spans="22:26" ht="17.100000000000001" customHeight="1" x14ac:dyDescent="0.3">
      <c r="Z853" s="549"/>
    </row>
    <row r="854" spans="22:26" ht="17.100000000000001" customHeight="1" x14ac:dyDescent="0.3">
      <c r="Z854" s="549"/>
    </row>
    <row r="855" spans="22:26" ht="17.100000000000001" customHeight="1" x14ac:dyDescent="0.3">
      <c r="Z855" s="549"/>
    </row>
    <row r="856" spans="22:26" ht="17.100000000000001" customHeight="1" x14ac:dyDescent="0.3">
      <c r="Z856" s="549"/>
    </row>
    <row r="857" spans="22:26" ht="17.100000000000001" customHeight="1" x14ac:dyDescent="0.3">
      <c r="Z857" s="549"/>
    </row>
    <row r="858" spans="22:26" ht="17.100000000000001" customHeight="1" x14ac:dyDescent="0.3">
      <c r="Z858" s="549"/>
    </row>
    <row r="859" spans="22:26" ht="17.100000000000001" customHeight="1" x14ac:dyDescent="0.3">
      <c r="Z859" s="549"/>
    </row>
    <row r="860" spans="22:26" ht="17.100000000000001" customHeight="1" x14ac:dyDescent="0.3">
      <c r="Z860" s="549"/>
    </row>
    <row r="861" spans="22:26" ht="17.100000000000001" customHeight="1" x14ac:dyDescent="0.3">
      <c r="Z861" s="549"/>
    </row>
    <row r="862" spans="22:26" ht="17.100000000000001" customHeight="1" x14ac:dyDescent="0.3">
      <c r="Z862" s="549"/>
    </row>
    <row r="863" spans="22:26" ht="17.100000000000001" customHeight="1" x14ac:dyDescent="0.3">
      <c r="Z863" s="549"/>
    </row>
    <row r="864" spans="22:26" ht="17.100000000000001" customHeight="1" x14ac:dyDescent="0.3">
      <c r="V864" s="463">
        <v>45387</v>
      </c>
      <c r="Z864" s="549"/>
    </row>
    <row r="865" spans="26:26" ht="17.100000000000001" customHeight="1" x14ac:dyDescent="0.3">
      <c r="Z865" s="549"/>
    </row>
    <row r="866" spans="26:26" ht="17.100000000000001" customHeight="1" x14ac:dyDescent="0.3">
      <c r="Z866" s="549"/>
    </row>
    <row r="867" spans="26:26" ht="17.100000000000001" customHeight="1" x14ac:dyDescent="0.3">
      <c r="Z867" s="549"/>
    </row>
    <row r="868" spans="26:26" ht="17.100000000000001" customHeight="1" x14ac:dyDescent="0.3">
      <c r="Z868" s="549"/>
    </row>
    <row r="869" spans="26:26" ht="17.100000000000001" customHeight="1" x14ac:dyDescent="0.3">
      <c r="Z869" s="549"/>
    </row>
    <row r="870" spans="26:26" ht="17.100000000000001" customHeight="1" x14ac:dyDescent="0.3">
      <c r="Z870" s="549"/>
    </row>
    <row r="871" spans="26:26" ht="17.100000000000001" customHeight="1" x14ac:dyDescent="0.3">
      <c r="Z871" s="549"/>
    </row>
    <row r="872" spans="26:26" ht="17.100000000000001" customHeight="1" x14ac:dyDescent="0.3">
      <c r="Z872" s="549"/>
    </row>
    <row r="873" spans="26:26" ht="17.100000000000001" customHeight="1" x14ac:dyDescent="0.3">
      <c r="Z873" s="549"/>
    </row>
    <row r="874" spans="26:26" ht="17.100000000000001" customHeight="1" x14ac:dyDescent="0.3">
      <c r="Z874" s="549"/>
    </row>
    <row r="875" spans="26:26" ht="17.100000000000001" customHeight="1" x14ac:dyDescent="0.3">
      <c r="Z875" s="549"/>
    </row>
    <row r="876" spans="26:26" ht="17.100000000000001" customHeight="1" x14ac:dyDescent="0.3">
      <c r="Z876" s="549"/>
    </row>
    <row r="877" spans="26:26" ht="17.100000000000001" customHeight="1" x14ac:dyDescent="0.3">
      <c r="Z877" s="549"/>
    </row>
    <row r="878" spans="26:26" ht="17.100000000000001" customHeight="1" x14ac:dyDescent="0.3">
      <c r="Z878" s="549"/>
    </row>
    <row r="879" spans="26:26" ht="17.100000000000001" customHeight="1" x14ac:dyDescent="0.3">
      <c r="Z879" s="549"/>
    </row>
    <row r="880" spans="26:26" ht="17.100000000000001" customHeight="1" x14ac:dyDescent="0.3">
      <c r="Z880" s="549"/>
    </row>
    <row r="881" spans="25:26" ht="17.100000000000001" customHeight="1" x14ac:dyDescent="0.3">
      <c r="Z881" s="549"/>
    </row>
    <row r="882" spans="25:26" ht="17.100000000000001" customHeight="1" x14ac:dyDescent="0.3">
      <c r="Z882" s="549"/>
    </row>
    <row r="883" spans="25:26" ht="17.100000000000001" customHeight="1" x14ac:dyDescent="0.3">
      <c r="Y883" s="47">
        <v>45986</v>
      </c>
      <c r="Z883" s="549"/>
    </row>
    <row r="884" spans="25:26" ht="17.100000000000001" customHeight="1" x14ac:dyDescent="0.3">
      <c r="Z884" s="549"/>
    </row>
    <row r="885" spans="25:26" ht="17.100000000000001" customHeight="1" x14ac:dyDescent="0.3">
      <c r="Z885" s="549"/>
    </row>
    <row r="886" spans="25:26" ht="17.100000000000001" customHeight="1" x14ac:dyDescent="0.3">
      <c r="Z886" s="549"/>
    </row>
    <row r="887" spans="25:26" ht="17.100000000000001" customHeight="1" x14ac:dyDescent="0.3">
      <c r="Z887" s="549"/>
    </row>
    <row r="888" spans="25:26" ht="17.100000000000001" customHeight="1" x14ac:dyDescent="0.3">
      <c r="Z888" s="549"/>
    </row>
    <row r="889" spans="25:26" ht="17.100000000000001" customHeight="1" x14ac:dyDescent="0.3">
      <c r="Z889" s="549"/>
    </row>
    <row r="890" spans="25:26" ht="17.100000000000001" customHeight="1" x14ac:dyDescent="0.3">
      <c r="Z890" s="549"/>
    </row>
    <row r="891" spans="25:26" ht="17.100000000000001" customHeight="1" x14ac:dyDescent="0.3">
      <c r="Z891" s="549"/>
    </row>
    <row r="892" spans="25:26" ht="17.100000000000001" customHeight="1" x14ac:dyDescent="0.3">
      <c r="Z892" s="549"/>
    </row>
    <row r="893" spans="25:26" ht="17.100000000000001" customHeight="1" x14ac:dyDescent="0.3">
      <c r="Z893" s="549"/>
    </row>
    <row r="894" spans="25:26" ht="17.100000000000001" customHeight="1" x14ac:dyDescent="0.3">
      <c r="Z894" s="549"/>
    </row>
    <row r="895" spans="25:26" ht="17.100000000000001" customHeight="1" x14ac:dyDescent="0.3">
      <c r="Z895" s="549"/>
    </row>
    <row r="896" spans="25:26" ht="17.100000000000001" customHeight="1" x14ac:dyDescent="0.3">
      <c r="Z896" s="549"/>
    </row>
    <row r="897" spans="26:26" ht="17.100000000000001" customHeight="1" x14ac:dyDescent="0.3">
      <c r="Z897" s="549"/>
    </row>
    <row r="898" spans="26:26" ht="17.100000000000001" customHeight="1" x14ac:dyDescent="0.3">
      <c r="Z898" s="549"/>
    </row>
    <row r="899" spans="26:26" ht="17.100000000000001" customHeight="1" x14ac:dyDescent="0.3">
      <c r="Z899" s="549"/>
    </row>
    <row r="900" spans="26:26" ht="17.100000000000001" customHeight="1" x14ac:dyDescent="0.3">
      <c r="Z900" s="549"/>
    </row>
    <row r="901" spans="26:26" ht="17.100000000000001" customHeight="1" x14ac:dyDescent="0.3">
      <c r="Z901" s="549"/>
    </row>
    <row r="902" spans="26:26" ht="17.100000000000001" customHeight="1" x14ac:dyDescent="0.3">
      <c r="Z902" s="549"/>
    </row>
    <row r="903" spans="26:26" ht="17.100000000000001" customHeight="1" x14ac:dyDescent="0.3">
      <c r="Z903" s="549"/>
    </row>
    <row r="904" spans="26:26" ht="17.100000000000001" customHeight="1" x14ac:dyDescent="0.3">
      <c r="Z904" s="549"/>
    </row>
    <row r="905" spans="26:26" ht="17.100000000000001" customHeight="1" x14ac:dyDescent="0.3">
      <c r="Z905" s="549"/>
    </row>
    <row r="906" spans="26:26" ht="17.100000000000001" customHeight="1" x14ac:dyDescent="0.3">
      <c r="Z906" s="549"/>
    </row>
    <row r="907" spans="26:26" ht="17.100000000000001" customHeight="1" x14ac:dyDescent="0.3">
      <c r="Z907" s="549"/>
    </row>
    <row r="908" spans="26:26" ht="17.100000000000001" customHeight="1" x14ac:dyDescent="0.3">
      <c r="Z908" s="549"/>
    </row>
    <row r="909" spans="26:26" ht="17.100000000000001" customHeight="1" x14ac:dyDescent="0.3">
      <c r="Z909" s="549"/>
    </row>
    <row r="910" spans="26:26" ht="17.100000000000001" customHeight="1" x14ac:dyDescent="0.3">
      <c r="Z910" s="549"/>
    </row>
    <row r="911" spans="26:26" ht="17.100000000000001" customHeight="1" x14ac:dyDescent="0.3">
      <c r="Z911" s="549"/>
    </row>
    <row r="912" spans="26:26" ht="17.100000000000001" customHeight="1" x14ac:dyDescent="0.3">
      <c r="Z912" s="549"/>
    </row>
    <row r="913" spans="2:26" ht="17.100000000000001" customHeight="1" x14ac:dyDescent="0.3">
      <c r="Z913" s="549"/>
    </row>
    <row r="914" spans="2:26" ht="17.100000000000001" customHeight="1" x14ac:dyDescent="0.3">
      <c r="Z914" s="549"/>
    </row>
    <row r="915" spans="2:26" ht="17.100000000000001" customHeight="1" x14ac:dyDescent="0.3">
      <c r="Z915" s="549"/>
    </row>
    <row r="916" spans="2:26" ht="17.100000000000001" customHeight="1" x14ac:dyDescent="0.3">
      <c r="Z916" s="549"/>
    </row>
    <row r="917" spans="2:26" ht="17.100000000000001" customHeight="1" x14ac:dyDescent="0.3">
      <c r="Z917" s="549"/>
    </row>
    <row r="918" spans="2:26" ht="17.100000000000001" customHeight="1" x14ac:dyDescent="0.3">
      <c r="Z918" s="549"/>
    </row>
    <row r="919" spans="2:26" ht="17.100000000000001" customHeight="1" x14ac:dyDescent="0.3">
      <c r="Z919" s="549"/>
    </row>
    <row r="920" spans="2:26" ht="17.100000000000001" customHeight="1" x14ac:dyDescent="0.3">
      <c r="Z920" s="549"/>
    </row>
    <row r="921" spans="2:26" ht="17.100000000000001" customHeight="1" x14ac:dyDescent="0.3">
      <c r="Z921" s="549"/>
    </row>
    <row r="922" spans="2:26" ht="17.100000000000001" customHeight="1" x14ac:dyDescent="0.3">
      <c r="Z922" s="549"/>
    </row>
    <row r="923" spans="2:26" ht="17.100000000000001" customHeight="1" x14ac:dyDescent="0.3">
      <c r="Z923" s="549"/>
    </row>
    <row r="924" spans="2:26" ht="17.100000000000001" customHeight="1" x14ac:dyDescent="0.3">
      <c r="Z924" s="549"/>
    </row>
    <row r="925" spans="2:26" ht="17.100000000000001" customHeight="1" x14ac:dyDescent="0.3">
      <c r="Z925" s="549"/>
    </row>
    <row r="926" spans="2:26" ht="17.100000000000001" customHeight="1" x14ac:dyDescent="0.3">
      <c r="Z926" s="549"/>
    </row>
    <row r="927" spans="2:26" ht="17.100000000000001" customHeight="1" x14ac:dyDescent="0.3">
      <c r="Z927" s="549"/>
    </row>
    <row r="928" spans="2:26" ht="17.100000000000001" customHeight="1" x14ac:dyDescent="0.3">
      <c r="B928" s="12">
        <v>4</v>
      </c>
      <c r="Z928" s="549"/>
    </row>
    <row r="929" spans="26:26" ht="17.100000000000001" customHeight="1" x14ac:dyDescent="0.3">
      <c r="Z929" s="549"/>
    </row>
    <row r="930" spans="26:26" ht="17.100000000000001" customHeight="1" x14ac:dyDescent="0.3">
      <c r="Z930" s="549"/>
    </row>
    <row r="931" spans="26:26" ht="17.100000000000001" customHeight="1" x14ac:dyDescent="0.3">
      <c r="Z931" s="549"/>
    </row>
    <row r="932" spans="26:26" ht="17.100000000000001" customHeight="1" x14ac:dyDescent="0.3">
      <c r="Z932" s="549"/>
    </row>
    <row r="933" spans="26:26" ht="17.100000000000001" customHeight="1" x14ac:dyDescent="0.3">
      <c r="Z933" s="549"/>
    </row>
    <row r="934" spans="26:26" ht="17.100000000000001" customHeight="1" x14ac:dyDescent="0.3">
      <c r="Z934" s="549"/>
    </row>
    <row r="935" spans="26:26" ht="17.100000000000001" customHeight="1" x14ac:dyDescent="0.3">
      <c r="Z935" s="549"/>
    </row>
    <row r="936" spans="26:26" ht="17.100000000000001" customHeight="1" x14ac:dyDescent="0.3">
      <c r="Z936" s="549"/>
    </row>
    <row r="937" spans="26:26" ht="17.100000000000001" customHeight="1" x14ac:dyDescent="0.3">
      <c r="Z937" s="549"/>
    </row>
    <row r="938" spans="26:26" ht="17.100000000000001" customHeight="1" x14ac:dyDescent="0.3">
      <c r="Z938" s="549"/>
    </row>
    <row r="939" spans="26:26" ht="17.100000000000001" customHeight="1" x14ac:dyDescent="0.3">
      <c r="Z939" s="549"/>
    </row>
    <row r="940" spans="26:26" ht="17.100000000000001" customHeight="1" x14ac:dyDescent="0.3">
      <c r="Z940" s="549"/>
    </row>
    <row r="941" spans="26:26" ht="17.100000000000001" customHeight="1" x14ac:dyDescent="0.3">
      <c r="Z941" s="549"/>
    </row>
    <row r="942" spans="26:26" ht="17.100000000000001" customHeight="1" x14ac:dyDescent="0.3">
      <c r="Z942" s="549"/>
    </row>
    <row r="943" spans="26:26" ht="17.100000000000001" customHeight="1" x14ac:dyDescent="0.3">
      <c r="Z943" s="549"/>
    </row>
    <row r="944" spans="26:26" ht="17.100000000000001" customHeight="1" x14ac:dyDescent="0.3">
      <c r="Z944" s="549"/>
    </row>
    <row r="945" spans="26:26" ht="17.100000000000001" customHeight="1" x14ac:dyDescent="0.3">
      <c r="Z945" s="549"/>
    </row>
    <row r="946" spans="26:26" ht="17.100000000000001" customHeight="1" x14ac:dyDescent="0.3">
      <c r="Z946" s="549"/>
    </row>
    <row r="947" spans="26:26" ht="17.100000000000001" customHeight="1" x14ac:dyDescent="0.3">
      <c r="Z947" s="549"/>
    </row>
    <row r="948" spans="26:26" ht="17.100000000000001" customHeight="1" x14ac:dyDescent="0.3">
      <c r="Z948" s="549"/>
    </row>
    <row r="949" spans="26:26" ht="17.100000000000001" customHeight="1" x14ac:dyDescent="0.3">
      <c r="Z949" s="549"/>
    </row>
    <row r="950" spans="26:26" ht="17.100000000000001" customHeight="1" x14ac:dyDescent="0.3">
      <c r="Z950" s="549"/>
    </row>
    <row r="951" spans="26:26" ht="17.100000000000001" customHeight="1" x14ac:dyDescent="0.3">
      <c r="Z951" s="549"/>
    </row>
    <row r="952" spans="26:26" ht="17.100000000000001" customHeight="1" x14ac:dyDescent="0.3">
      <c r="Z952" s="549"/>
    </row>
    <row r="953" spans="26:26" ht="17.100000000000001" customHeight="1" x14ac:dyDescent="0.3">
      <c r="Z953" s="549"/>
    </row>
    <row r="954" spans="26:26" ht="17.100000000000001" customHeight="1" x14ac:dyDescent="0.3">
      <c r="Z954" s="549"/>
    </row>
    <row r="955" spans="26:26" ht="17.100000000000001" customHeight="1" x14ac:dyDescent="0.3">
      <c r="Z955" s="549"/>
    </row>
    <row r="956" spans="26:26" ht="17.100000000000001" customHeight="1" x14ac:dyDescent="0.3">
      <c r="Z956" s="549"/>
    </row>
    <row r="957" spans="26:26" ht="17.100000000000001" customHeight="1" x14ac:dyDescent="0.3">
      <c r="Z957" s="549"/>
    </row>
    <row r="958" spans="26:26" ht="17.100000000000001" customHeight="1" x14ac:dyDescent="0.3">
      <c r="Z958" s="549"/>
    </row>
    <row r="959" spans="26:26" ht="17.100000000000001" customHeight="1" x14ac:dyDescent="0.3">
      <c r="Z959" s="549"/>
    </row>
    <row r="960" spans="26:26" ht="17.100000000000001" customHeight="1" x14ac:dyDescent="0.3">
      <c r="Z960" s="549"/>
    </row>
    <row r="961" spans="12:26" ht="17.100000000000001" customHeight="1" x14ac:dyDescent="0.3">
      <c r="Z961" s="549"/>
    </row>
    <row r="962" spans="12:26" ht="17.100000000000001" customHeight="1" x14ac:dyDescent="0.3">
      <c r="Z962" s="549"/>
    </row>
    <row r="963" spans="12:26" ht="17.100000000000001" customHeight="1" x14ac:dyDescent="0.3">
      <c r="Z963" s="549"/>
    </row>
    <row r="964" spans="12:26" ht="17.100000000000001" customHeight="1" x14ac:dyDescent="0.3">
      <c r="Z964" s="549"/>
    </row>
    <row r="965" spans="12:26" ht="17.100000000000001" customHeight="1" x14ac:dyDescent="0.3">
      <c r="Z965" s="549"/>
    </row>
    <row r="966" spans="12:26" ht="17.100000000000001" customHeight="1" x14ac:dyDescent="0.3">
      <c r="Z966" s="549"/>
    </row>
    <row r="967" spans="12:26" ht="17.100000000000001" customHeight="1" x14ac:dyDescent="0.3">
      <c r="Z967" s="549"/>
    </row>
    <row r="968" spans="12:26" ht="17.100000000000001" customHeight="1" x14ac:dyDescent="0.3">
      <c r="Z968" s="549"/>
    </row>
    <row r="969" spans="12:26" ht="17.100000000000001" customHeight="1" x14ac:dyDescent="0.3">
      <c r="Z969" s="549"/>
    </row>
    <row r="970" spans="12:26" ht="17.100000000000001" customHeight="1" x14ac:dyDescent="0.3">
      <c r="Z970" s="549"/>
    </row>
    <row r="971" spans="12:26" ht="17.100000000000001" customHeight="1" x14ac:dyDescent="0.3">
      <c r="Z971" s="549"/>
    </row>
    <row r="972" spans="12:26" ht="17.100000000000001" customHeight="1" x14ac:dyDescent="0.3">
      <c r="Z972" s="549"/>
    </row>
    <row r="973" spans="12:26" ht="17.100000000000001" customHeight="1" x14ac:dyDescent="0.3">
      <c r="L973" s="66">
        <v>1550000</v>
      </c>
      <c r="Z973" s="549"/>
    </row>
    <row r="974" spans="12:26" ht="17.100000000000001" customHeight="1" x14ac:dyDescent="0.3">
      <c r="Z974" s="549"/>
    </row>
    <row r="975" spans="12:26" ht="17.100000000000001" customHeight="1" x14ac:dyDescent="0.3">
      <c r="Z975" s="549"/>
    </row>
    <row r="976" spans="12:26" ht="17.100000000000001" customHeight="1" x14ac:dyDescent="0.3">
      <c r="Z976" s="549"/>
    </row>
    <row r="977" spans="26:26" ht="17.100000000000001" customHeight="1" x14ac:dyDescent="0.3">
      <c r="Z977" s="549"/>
    </row>
    <row r="978" spans="26:26" ht="17.100000000000001" customHeight="1" x14ac:dyDescent="0.3">
      <c r="Z978" s="549"/>
    </row>
    <row r="979" spans="26:26" ht="17.100000000000001" customHeight="1" x14ac:dyDescent="0.3">
      <c r="Z979" s="549"/>
    </row>
    <row r="980" spans="26:26" ht="17.100000000000001" customHeight="1" x14ac:dyDescent="0.3">
      <c r="Z980" s="549"/>
    </row>
    <row r="981" spans="26:26" ht="17.100000000000001" customHeight="1" x14ac:dyDescent="0.3">
      <c r="Z981" s="549"/>
    </row>
    <row r="982" spans="26:26" ht="17.100000000000001" customHeight="1" x14ac:dyDescent="0.3">
      <c r="Z982" s="549"/>
    </row>
    <row r="983" spans="26:26" ht="17.100000000000001" customHeight="1" x14ac:dyDescent="0.3">
      <c r="Z983" s="549"/>
    </row>
    <row r="984" spans="26:26" ht="17.100000000000001" customHeight="1" x14ac:dyDescent="0.3">
      <c r="Z984" s="549"/>
    </row>
    <row r="985" spans="26:26" ht="17.100000000000001" customHeight="1" x14ac:dyDescent="0.3">
      <c r="Z985" s="549"/>
    </row>
    <row r="986" spans="26:26" ht="17.100000000000001" customHeight="1" x14ac:dyDescent="0.3">
      <c r="Z986" s="549"/>
    </row>
    <row r="987" spans="26:26" ht="17.100000000000001" customHeight="1" x14ac:dyDescent="0.3">
      <c r="Z987" s="549"/>
    </row>
    <row r="988" spans="26:26" ht="17.100000000000001" customHeight="1" x14ac:dyDescent="0.3">
      <c r="Z988" s="549"/>
    </row>
    <row r="989" spans="26:26" ht="17.100000000000001" customHeight="1" x14ac:dyDescent="0.3">
      <c r="Z989" s="549"/>
    </row>
    <row r="990" spans="26:26" ht="17.100000000000001" customHeight="1" x14ac:dyDescent="0.3">
      <c r="Z990" s="549"/>
    </row>
    <row r="991" spans="26:26" ht="17.100000000000001" customHeight="1" x14ac:dyDescent="0.3">
      <c r="Z991" s="549"/>
    </row>
    <row r="992" spans="26:26" ht="17.100000000000001" customHeight="1" x14ac:dyDescent="0.3">
      <c r="Z992" s="549"/>
    </row>
    <row r="993" spans="26:26" ht="17.100000000000001" customHeight="1" x14ac:dyDescent="0.3">
      <c r="Z993" s="549"/>
    </row>
    <row r="994" spans="26:26" ht="17.100000000000001" customHeight="1" x14ac:dyDescent="0.3">
      <c r="Z994" s="549"/>
    </row>
    <row r="995" spans="26:26" ht="17.100000000000001" customHeight="1" x14ac:dyDescent="0.3">
      <c r="Z995" s="549"/>
    </row>
    <row r="996" spans="26:26" ht="17.100000000000001" customHeight="1" x14ac:dyDescent="0.3">
      <c r="Z996" s="549"/>
    </row>
    <row r="997" spans="26:26" ht="17.100000000000001" customHeight="1" x14ac:dyDescent="0.3">
      <c r="Z997" s="549"/>
    </row>
    <row r="998" spans="26:26" ht="17.100000000000001" customHeight="1" x14ac:dyDescent="0.3">
      <c r="Z998" s="549"/>
    </row>
    <row r="999" spans="26:26" ht="17.100000000000001" customHeight="1" x14ac:dyDescent="0.3">
      <c r="Z999" s="549"/>
    </row>
    <row r="1000" spans="26:26" ht="17.100000000000001" customHeight="1" x14ac:dyDescent="0.3">
      <c r="Z1000" s="549"/>
    </row>
    <row r="1001" spans="26:26" ht="17.100000000000001" customHeight="1" x14ac:dyDescent="0.3">
      <c r="Z1001" s="549"/>
    </row>
    <row r="1002" spans="26:26" ht="17.100000000000001" customHeight="1" x14ac:dyDescent="0.3">
      <c r="Z1002" s="549"/>
    </row>
    <row r="1003" spans="26:26" ht="17.100000000000001" customHeight="1" x14ac:dyDescent="0.3">
      <c r="Z1003" s="549"/>
    </row>
    <row r="1004" spans="26:26" ht="17.100000000000001" customHeight="1" x14ac:dyDescent="0.3">
      <c r="Z1004" s="549"/>
    </row>
    <row r="1005" spans="26:26" ht="17.100000000000001" customHeight="1" x14ac:dyDescent="0.3">
      <c r="Z1005" s="549"/>
    </row>
    <row r="1006" spans="26:26" ht="17.100000000000001" customHeight="1" x14ac:dyDescent="0.3">
      <c r="Z1006" s="549"/>
    </row>
    <row r="1007" spans="26:26" ht="17.100000000000001" customHeight="1" x14ac:dyDescent="0.3">
      <c r="Z1007" s="549"/>
    </row>
    <row r="1008" spans="26:26" ht="17.100000000000001" customHeight="1" x14ac:dyDescent="0.3">
      <c r="Z1008" s="549"/>
    </row>
    <row r="1009" spans="6:26" ht="17.100000000000001" customHeight="1" x14ac:dyDescent="0.3">
      <c r="Z1009" s="549"/>
    </row>
    <row r="1010" spans="6:26" ht="17.100000000000001" customHeight="1" x14ac:dyDescent="0.3">
      <c r="Z1010" s="549"/>
    </row>
    <row r="1011" spans="6:26" ht="17.100000000000001" customHeight="1" x14ac:dyDescent="0.3">
      <c r="Z1011" s="549"/>
    </row>
    <row r="1012" spans="6:26" ht="17.100000000000001" customHeight="1" x14ac:dyDescent="0.3">
      <c r="Z1012" s="549"/>
    </row>
    <row r="1013" spans="6:26" ht="17.100000000000001" customHeight="1" x14ac:dyDescent="0.3">
      <c r="Z1013" s="549"/>
    </row>
    <row r="1014" spans="6:26" ht="17.100000000000001" customHeight="1" x14ac:dyDescent="0.3">
      <c r="Z1014" s="549"/>
    </row>
    <row r="1015" spans="6:26" ht="17.100000000000001" customHeight="1" x14ac:dyDescent="0.3">
      <c r="Z1015" s="549"/>
    </row>
    <row r="1016" spans="6:26" ht="17.100000000000001" customHeight="1" x14ac:dyDescent="0.3">
      <c r="F1016" s="420" t="s">
        <v>525</v>
      </c>
      <c r="Z1016" s="549"/>
    </row>
    <row r="1017" spans="6:26" ht="17.100000000000001" customHeight="1" x14ac:dyDescent="0.3">
      <c r="Z1017" s="549"/>
    </row>
    <row r="1018" spans="6:26" ht="17.100000000000001" customHeight="1" x14ac:dyDescent="0.3">
      <c r="Z1018" s="549"/>
    </row>
    <row r="1019" spans="6:26" ht="17.100000000000001" customHeight="1" x14ac:dyDescent="0.3">
      <c r="Z1019" s="549"/>
    </row>
    <row r="1020" spans="6:26" ht="17.100000000000001" customHeight="1" x14ac:dyDescent="0.3">
      <c r="Z1020" s="549"/>
    </row>
    <row r="1021" spans="6:26" ht="17.100000000000001" customHeight="1" x14ac:dyDescent="0.3">
      <c r="Z1021" s="549"/>
    </row>
    <row r="1022" spans="6:26" ht="17.100000000000001" customHeight="1" x14ac:dyDescent="0.3">
      <c r="Z1022" s="549"/>
    </row>
    <row r="1023" spans="6:26" ht="17.100000000000001" customHeight="1" x14ac:dyDescent="0.3">
      <c r="Z1023" s="549"/>
    </row>
    <row r="1024" spans="6:26" ht="17.100000000000001" customHeight="1" x14ac:dyDescent="0.3">
      <c r="Z1024" s="549"/>
    </row>
    <row r="1025" spans="8:26" ht="17.100000000000001" customHeight="1" x14ac:dyDescent="0.3">
      <c r="Z1025" s="549"/>
    </row>
    <row r="1026" spans="8:26" ht="17.100000000000001" customHeight="1" x14ac:dyDescent="0.3">
      <c r="Z1026" s="549"/>
    </row>
    <row r="1027" spans="8:26" ht="17.100000000000001" customHeight="1" x14ac:dyDescent="0.3">
      <c r="Z1027" s="549"/>
    </row>
    <row r="1028" spans="8:26" ht="17.100000000000001" customHeight="1" x14ac:dyDescent="0.3">
      <c r="Z1028" s="549"/>
    </row>
    <row r="1029" spans="8:26" ht="17.100000000000001" customHeight="1" x14ac:dyDescent="0.3">
      <c r="Z1029" s="549"/>
    </row>
    <row r="1030" spans="8:26" ht="17.100000000000001" customHeight="1" x14ac:dyDescent="0.3">
      <c r="Z1030" s="549"/>
    </row>
    <row r="1031" spans="8:26" ht="17.100000000000001" customHeight="1" x14ac:dyDescent="0.3">
      <c r="Z1031" s="549"/>
    </row>
    <row r="1032" spans="8:26" ht="17.100000000000001" customHeight="1" x14ac:dyDescent="0.3">
      <c r="Z1032" s="549"/>
    </row>
    <row r="1033" spans="8:26" ht="17.100000000000001" customHeight="1" x14ac:dyDescent="0.3">
      <c r="K1033" s="591" t="s">
        <v>758</v>
      </c>
      <c r="Z1033" s="549"/>
    </row>
    <row r="1034" spans="8:26" ht="17.100000000000001" customHeight="1" x14ac:dyDescent="0.3">
      <c r="Z1034" s="549"/>
    </row>
    <row r="1035" spans="8:26" ht="17.100000000000001" customHeight="1" x14ac:dyDescent="0.3">
      <c r="H1035" s="254" t="s">
        <v>759</v>
      </c>
      <c r="Z1035" s="549"/>
    </row>
    <row r="1036" spans="8:26" ht="17.100000000000001" customHeight="1" x14ac:dyDescent="0.3">
      <c r="Z1036" s="549"/>
    </row>
    <row r="1037" spans="8:26" ht="17.100000000000001" customHeight="1" x14ac:dyDescent="0.3">
      <c r="Z1037" s="549"/>
    </row>
    <row r="1038" spans="8:26" ht="17.100000000000001" customHeight="1" x14ac:dyDescent="0.3">
      <c r="Z1038" s="549"/>
    </row>
    <row r="1039" spans="8:26" ht="17.100000000000001" customHeight="1" x14ac:dyDescent="0.3">
      <c r="Z1039" s="549"/>
    </row>
    <row r="1040" spans="8:26" ht="17.100000000000001" customHeight="1" x14ac:dyDescent="0.3">
      <c r="Z1040" s="549"/>
    </row>
    <row r="1041" spans="26:26" ht="17.100000000000001" customHeight="1" x14ac:dyDescent="0.3">
      <c r="Z1041" s="549"/>
    </row>
    <row r="1042" spans="26:26" ht="17.100000000000001" customHeight="1" x14ac:dyDescent="0.3">
      <c r="Z1042" s="549"/>
    </row>
    <row r="1043" spans="26:26" ht="17.100000000000001" customHeight="1" x14ac:dyDescent="0.3">
      <c r="Z1043" s="549"/>
    </row>
    <row r="1044" spans="26:26" ht="17.100000000000001" customHeight="1" x14ac:dyDescent="0.3">
      <c r="Z1044" s="549"/>
    </row>
    <row r="1045" spans="26:26" ht="17.100000000000001" customHeight="1" x14ac:dyDescent="0.3">
      <c r="Z1045" s="549"/>
    </row>
    <row r="1046" spans="26:26" ht="17.100000000000001" customHeight="1" x14ac:dyDescent="0.3">
      <c r="Z1046" s="549"/>
    </row>
    <row r="1047" spans="26:26" ht="17.100000000000001" customHeight="1" x14ac:dyDescent="0.3">
      <c r="Z1047" s="549"/>
    </row>
    <row r="1048" spans="26:26" ht="17.100000000000001" customHeight="1" x14ac:dyDescent="0.3">
      <c r="Z1048" s="549"/>
    </row>
    <row r="1049" spans="26:26" ht="17.100000000000001" customHeight="1" x14ac:dyDescent="0.3">
      <c r="Z1049" s="549"/>
    </row>
    <row r="1050" spans="26:26" ht="17.100000000000001" customHeight="1" x14ac:dyDescent="0.3">
      <c r="Z1050" s="549"/>
    </row>
    <row r="1051" spans="26:26" ht="17.100000000000001" customHeight="1" x14ac:dyDescent="0.3">
      <c r="Z1051" s="549"/>
    </row>
    <row r="1052" spans="26:26" ht="17.100000000000001" customHeight="1" x14ac:dyDescent="0.3">
      <c r="Z1052" s="549"/>
    </row>
    <row r="1053" spans="26:26" ht="17.100000000000001" customHeight="1" x14ac:dyDescent="0.3">
      <c r="Z1053" s="549"/>
    </row>
    <row r="1054" spans="26:26" ht="17.100000000000001" customHeight="1" x14ac:dyDescent="0.3">
      <c r="Z1054" s="549"/>
    </row>
    <row r="1055" spans="26:26" ht="17.100000000000001" customHeight="1" x14ac:dyDescent="0.3">
      <c r="Z1055" s="549"/>
    </row>
    <row r="1056" spans="26:26" ht="17.100000000000001" customHeight="1" x14ac:dyDescent="0.3">
      <c r="Z1056" s="549"/>
    </row>
    <row r="1057" spans="11:26" ht="17.100000000000001" customHeight="1" x14ac:dyDescent="0.3">
      <c r="Z1057" s="549"/>
    </row>
    <row r="1058" spans="11:26" ht="17.100000000000001" customHeight="1" x14ac:dyDescent="0.3">
      <c r="Z1058" s="549"/>
    </row>
    <row r="1059" spans="11:26" ht="17.100000000000001" customHeight="1" x14ac:dyDescent="0.3">
      <c r="Z1059" s="549"/>
    </row>
    <row r="1060" spans="11:26" ht="17.100000000000001" customHeight="1" x14ac:dyDescent="0.3">
      <c r="Z1060" s="549"/>
    </row>
    <row r="1061" spans="11:26" ht="17.100000000000001" customHeight="1" x14ac:dyDescent="0.3">
      <c r="Z1061" s="549"/>
    </row>
    <row r="1062" spans="11:26" ht="17.100000000000001" customHeight="1" x14ac:dyDescent="0.3">
      <c r="Z1062" s="549"/>
    </row>
    <row r="1063" spans="11:26" ht="17.100000000000001" customHeight="1" x14ac:dyDescent="0.3">
      <c r="Z1063" s="549"/>
    </row>
    <row r="1064" spans="11:26" ht="17.100000000000001" customHeight="1" x14ac:dyDescent="0.3">
      <c r="Z1064" s="549"/>
    </row>
    <row r="1065" spans="11:26" ht="17.100000000000001" customHeight="1" x14ac:dyDescent="0.3">
      <c r="Z1065" s="549"/>
    </row>
    <row r="1066" spans="11:26" ht="17.100000000000001" customHeight="1" x14ac:dyDescent="0.3">
      <c r="Z1066" s="549"/>
    </row>
    <row r="1067" spans="11:26" ht="17.100000000000001" customHeight="1" x14ac:dyDescent="0.3">
      <c r="Z1067" s="549"/>
    </row>
    <row r="1068" spans="11:26" ht="17.100000000000001" customHeight="1" x14ac:dyDescent="0.3">
      <c r="Z1068" s="549"/>
    </row>
    <row r="1069" spans="11:26" ht="17.100000000000001" customHeight="1" x14ac:dyDescent="0.3">
      <c r="K1069" s="591" t="s">
        <v>764</v>
      </c>
      <c r="Z1069" s="549"/>
    </row>
    <row r="1070" spans="11:26" ht="17.100000000000001" customHeight="1" x14ac:dyDescent="0.3">
      <c r="Z1070" s="549"/>
    </row>
    <row r="1071" spans="11:26" ht="17.100000000000001" customHeight="1" x14ac:dyDescent="0.3">
      <c r="Z1071" s="549"/>
    </row>
    <row r="1072" spans="11:26" ht="17.100000000000001" customHeight="1" x14ac:dyDescent="0.3">
      <c r="Z1072" s="549"/>
    </row>
    <row r="1073" spans="26:26" ht="17.100000000000001" customHeight="1" x14ac:dyDescent="0.3">
      <c r="Z1073" s="549"/>
    </row>
    <row r="1074" spans="26:26" ht="17.100000000000001" customHeight="1" x14ac:dyDescent="0.3">
      <c r="Z1074" s="549"/>
    </row>
    <row r="1075" spans="26:26" ht="17.100000000000001" customHeight="1" x14ac:dyDescent="0.3">
      <c r="Z1075" s="549"/>
    </row>
    <row r="1076" spans="26:26" ht="17.100000000000001" customHeight="1" x14ac:dyDescent="0.3">
      <c r="Z1076" s="549"/>
    </row>
    <row r="1077" spans="26:26" ht="17.100000000000001" customHeight="1" x14ac:dyDescent="0.3">
      <c r="Z1077" s="549"/>
    </row>
    <row r="1078" spans="26:26" ht="17.100000000000001" customHeight="1" x14ac:dyDescent="0.3">
      <c r="Z1078" s="549"/>
    </row>
    <row r="1079" spans="26:26" ht="17.100000000000001" customHeight="1" x14ac:dyDescent="0.3">
      <c r="Z1079" s="549"/>
    </row>
    <row r="1080" spans="26:26" ht="17.100000000000001" customHeight="1" x14ac:dyDescent="0.3">
      <c r="Z1080" s="549"/>
    </row>
    <row r="1081" spans="26:26" ht="17.100000000000001" customHeight="1" x14ac:dyDescent="0.3">
      <c r="Z1081" s="549"/>
    </row>
    <row r="1082" spans="26:26" ht="17.100000000000001" customHeight="1" x14ac:dyDescent="0.3">
      <c r="Z1082" s="549"/>
    </row>
    <row r="1083" spans="26:26" ht="17.100000000000001" customHeight="1" x14ac:dyDescent="0.3">
      <c r="Z1083" s="549"/>
    </row>
    <row r="1084" spans="26:26" ht="17.100000000000001" customHeight="1" x14ac:dyDescent="0.3">
      <c r="Z1084" s="549"/>
    </row>
    <row r="1085" spans="26:26" ht="17.100000000000001" customHeight="1" x14ac:dyDescent="0.3">
      <c r="Z1085" s="549"/>
    </row>
    <row r="1086" spans="26:26" ht="17.100000000000001" customHeight="1" x14ac:dyDescent="0.3">
      <c r="Z1086" s="549"/>
    </row>
    <row r="1087" spans="26:26" ht="17.100000000000001" customHeight="1" x14ac:dyDescent="0.3">
      <c r="Z1087" s="549"/>
    </row>
    <row r="1088" spans="26:26" ht="17.100000000000001" customHeight="1" x14ac:dyDescent="0.3">
      <c r="Z1088" s="549"/>
    </row>
    <row r="1089" spans="11:45" ht="17.100000000000001" customHeight="1" x14ac:dyDescent="0.3">
      <c r="Z1089" s="549"/>
    </row>
    <row r="1090" spans="11:45" ht="17.100000000000001" customHeight="1" x14ac:dyDescent="0.3">
      <c r="Z1090" s="549"/>
    </row>
    <row r="1091" spans="11:45" ht="17.100000000000001" customHeight="1" x14ac:dyDescent="0.3">
      <c r="Z1091" s="549"/>
    </row>
    <row r="1092" spans="11:45" ht="17.100000000000001" customHeight="1" x14ac:dyDescent="0.3">
      <c r="Z1092" s="549"/>
    </row>
    <row r="1093" spans="11:45" ht="17.100000000000001" customHeight="1" x14ac:dyDescent="0.3">
      <c r="Z1093" s="549"/>
    </row>
    <row r="1094" spans="11:45" ht="17.100000000000001" customHeight="1" x14ac:dyDescent="0.3">
      <c r="Z1094" s="549"/>
    </row>
    <row r="1095" spans="11:45" ht="17.100000000000001" customHeight="1" x14ac:dyDescent="0.3">
      <c r="Z1095" s="549"/>
    </row>
    <row r="1096" spans="11:45" ht="17.100000000000001" customHeight="1" x14ac:dyDescent="0.3">
      <c r="Z1096" s="549"/>
    </row>
    <row r="1097" spans="11:45" ht="17.100000000000001" customHeight="1" x14ac:dyDescent="0.3">
      <c r="Z1097" s="549"/>
    </row>
    <row r="1098" spans="11:45" ht="17.100000000000001" customHeight="1" x14ac:dyDescent="0.3">
      <c r="Z1098" s="549"/>
      <c r="AJ1098" s="321">
        <v>45446</v>
      </c>
    </row>
    <row r="1099" spans="11:45" ht="17.100000000000001" customHeight="1" x14ac:dyDescent="0.3">
      <c r="Z1099" s="549"/>
    </row>
    <row r="1100" spans="11:45" ht="17.100000000000001" customHeight="1" x14ac:dyDescent="0.3">
      <c r="K1100" s="591" t="s">
        <v>765</v>
      </c>
      <c r="Z1100" s="549"/>
      <c r="AS1100" s="53" t="s">
        <v>766</v>
      </c>
    </row>
    <row r="1101" spans="11:45" ht="17.100000000000001" customHeight="1" x14ac:dyDescent="0.3">
      <c r="Z1101" s="549"/>
    </row>
    <row r="1102" spans="11:45" ht="17.100000000000001" customHeight="1" x14ac:dyDescent="0.3">
      <c r="Z1102" s="549"/>
    </row>
    <row r="1103" spans="11:45" ht="17.100000000000001" customHeight="1" x14ac:dyDescent="0.3">
      <c r="Z1103" s="549"/>
    </row>
    <row r="1104" spans="11:45" ht="17.100000000000001" customHeight="1" x14ac:dyDescent="0.3">
      <c r="Z1104" s="549"/>
    </row>
    <row r="1105" spans="26:26" ht="17.100000000000001" customHeight="1" x14ac:dyDescent="0.3">
      <c r="Z1105" s="549"/>
    </row>
    <row r="1106" spans="26:26" ht="17.100000000000001" customHeight="1" x14ac:dyDescent="0.3">
      <c r="Z1106" s="549"/>
    </row>
    <row r="1107" spans="26:26" ht="17.100000000000001" customHeight="1" x14ac:dyDescent="0.3">
      <c r="Z1107" s="549"/>
    </row>
    <row r="1108" spans="26:26" ht="17.100000000000001" customHeight="1" x14ac:dyDescent="0.3">
      <c r="Z1108" s="549"/>
    </row>
    <row r="1109" spans="26:26" ht="17.100000000000001" customHeight="1" x14ac:dyDescent="0.3">
      <c r="Z1109" s="549"/>
    </row>
    <row r="1110" spans="26:26" ht="17.100000000000001" customHeight="1" x14ac:dyDescent="0.3">
      <c r="Z1110" s="549"/>
    </row>
    <row r="1111" spans="26:26" ht="17.100000000000001" customHeight="1" x14ac:dyDescent="0.3">
      <c r="Z1111" s="549"/>
    </row>
    <row r="1112" spans="26:26" ht="17.100000000000001" customHeight="1" x14ac:dyDescent="0.3">
      <c r="Z1112" s="549"/>
    </row>
    <row r="1113" spans="26:26" ht="17.100000000000001" customHeight="1" x14ac:dyDescent="0.3">
      <c r="Z1113" s="549"/>
    </row>
    <row r="1114" spans="26:26" ht="17.100000000000001" customHeight="1" x14ac:dyDescent="0.3">
      <c r="Z1114" s="549"/>
    </row>
    <row r="1115" spans="26:26" ht="17.100000000000001" customHeight="1" x14ac:dyDescent="0.3">
      <c r="Z1115" s="549"/>
    </row>
    <row r="1116" spans="26:26" ht="17.100000000000001" customHeight="1" x14ac:dyDescent="0.3">
      <c r="Z1116" s="549"/>
    </row>
    <row r="1117" spans="26:26" ht="17.100000000000001" customHeight="1" x14ac:dyDescent="0.3">
      <c r="Z1117" s="549"/>
    </row>
    <row r="1118" spans="26:26" ht="17.100000000000001" customHeight="1" x14ac:dyDescent="0.3">
      <c r="Z1118" s="549"/>
    </row>
    <row r="1119" spans="26:26" ht="17.100000000000001" customHeight="1" x14ac:dyDescent="0.3">
      <c r="Z1119" s="549"/>
    </row>
    <row r="1120" spans="26:26" ht="17.100000000000001" customHeight="1" x14ac:dyDescent="0.3">
      <c r="Z1120" s="549"/>
    </row>
    <row r="1121" spans="26:26" ht="17.100000000000001" customHeight="1" x14ac:dyDescent="0.3">
      <c r="Z1121" s="549"/>
    </row>
    <row r="1122" spans="26:26" ht="17.100000000000001" customHeight="1" x14ac:dyDescent="0.3">
      <c r="Z1122" s="549"/>
    </row>
    <row r="1123" spans="26:26" ht="17.100000000000001" customHeight="1" x14ac:dyDescent="0.3">
      <c r="Z1123" s="549"/>
    </row>
    <row r="1124" spans="26:26" ht="17.100000000000001" customHeight="1" x14ac:dyDescent="0.3">
      <c r="Z1124" s="549"/>
    </row>
    <row r="1125" spans="26:26" ht="17.100000000000001" customHeight="1" x14ac:dyDescent="0.3">
      <c r="Z1125" s="549"/>
    </row>
    <row r="1126" spans="26:26" ht="17.100000000000001" customHeight="1" x14ac:dyDescent="0.3">
      <c r="Z1126" s="549"/>
    </row>
    <row r="1127" spans="26:26" ht="17.100000000000001" customHeight="1" x14ac:dyDescent="0.3">
      <c r="Z1127" s="549"/>
    </row>
    <row r="1128" spans="26:26" ht="17.100000000000001" customHeight="1" x14ac:dyDescent="0.3">
      <c r="Z1128" s="549"/>
    </row>
    <row r="1129" spans="26:26" ht="17.100000000000001" customHeight="1" x14ac:dyDescent="0.3">
      <c r="Z1129" s="549"/>
    </row>
    <row r="1130" spans="26:26" ht="17.100000000000001" customHeight="1" x14ac:dyDescent="0.3">
      <c r="Z1130" s="549"/>
    </row>
    <row r="1131" spans="26:26" ht="17.100000000000001" customHeight="1" x14ac:dyDescent="0.3">
      <c r="Z1131" s="549"/>
    </row>
    <row r="1132" spans="26:26" ht="17.100000000000001" customHeight="1" x14ac:dyDescent="0.3">
      <c r="Z1132" s="549"/>
    </row>
    <row r="1133" spans="26:26" ht="17.100000000000001" customHeight="1" x14ac:dyDescent="0.3">
      <c r="Z1133" s="549"/>
    </row>
    <row r="1134" spans="26:26" ht="17.100000000000001" customHeight="1" x14ac:dyDescent="0.3">
      <c r="Z1134" s="549"/>
    </row>
    <row r="1135" spans="26:26" ht="17.100000000000001" customHeight="1" x14ac:dyDescent="0.3">
      <c r="Z1135" s="549"/>
    </row>
    <row r="1136" spans="26:26" ht="17.100000000000001" customHeight="1" x14ac:dyDescent="0.3">
      <c r="Z1136" s="549"/>
    </row>
    <row r="1137" spans="10:26" ht="17.100000000000001" customHeight="1" x14ac:dyDescent="0.3">
      <c r="Z1137" s="549"/>
    </row>
    <row r="1138" spans="10:26" ht="17.100000000000001" customHeight="1" x14ac:dyDescent="0.3">
      <c r="Z1138" s="549"/>
    </row>
    <row r="1139" spans="10:26" ht="17.100000000000001" customHeight="1" x14ac:dyDescent="0.3">
      <c r="Z1139" s="549"/>
    </row>
    <row r="1140" spans="10:26" ht="17.100000000000001" customHeight="1" x14ac:dyDescent="0.3">
      <c r="Z1140" s="549"/>
    </row>
    <row r="1141" spans="10:26" ht="17.100000000000001" customHeight="1" x14ac:dyDescent="0.3">
      <c r="Z1141" s="549"/>
    </row>
    <row r="1142" spans="10:26" ht="17.100000000000001" customHeight="1" x14ac:dyDescent="0.3">
      <c r="Z1142" s="549"/>
    </row>
    <row r="1143" spans="10:26" ht="17.100000000000001" customHeight="1" x14ac:dyDescent="0.3">
      <c r="Z1143" s="549"/>
    </row>
    <row r="1144" spans="10:26" ht="17.100000000000001" customHeight="1" x14ac:dyDescent="0.3">
      <c r="Z1144" s="549"/>
    </row>
    <row r="1145" spans="10:26" ht="17.100000000000001" customHeight="1" x14ac:dyDescent="0.3">
      <c r="Z1145" s="549"/>
    </row>
    <row r="1146" spans="10:26" ht="17.100000000000001" customHeight="1" x14ac:dyDescent="0.3">
      <c r="Z1146" s="549"/>
    </row>
    <row r="1147" spans="10:26" ht="17.100000000000001" customHeight="1" x14ac:dyDescent="0.3">
      <c r="Z1147" s="549"/>
    </row>
    <row r="1148" spans="10:26" ht="17.100000000000001" customHeight="1" x14ac:dyDescent="0.3">
      <c r="Z1148" s="549"/>
    </row>
    <row r="1149" spans="10:26" ht="17.100000000000001" customHeight="1" x14ac:dyDescent="0.3">
      <c r="Z1149" s="549"/>
    </row>
    <row r="1150" spans="10:26" ht="17.100000000000001" customHeight="1" x14ac:dyDescent="0.3">
      <c r="Z1150" s="549"/>
    </row>
    <row r="1151" spans="10:26" ht="17.100000000000001" customHeight="1" x14ac:dyDescent="0.3">
      <c r="J1151" s="455" t="s">
        <v>769</v>
      </c>
      <c r="Z1151" s="549"/>
    </row>
    <row r="1152" spans="10:26" ht="17.100000000000001" customHeight="1" x14ac:dyDescent="0.3">
      <c r="Z1152" s="549"/>
    </row>
    <row r="1153" spans="13:26" ht="17.100000000000001" customHeight="1" x14ac:dyDescent="0.3">
      <c r="Z1153" s="549"/>
    </row>
    <row r="1154" spans="13:26" ht="17.100000000000001" customHeight="1" x14ac:dyDescent="0.3">
      <c r="Z1154" s="549"/>
    </row>
    <row r="1155" spans="13:26" ht="17.100000000000001" customHeight="1" x14ac:dyDescent="0.3">
      <c r="Z1155" s="549"/>
    </row>
    <row r="1156" spans="13:26" ht="17.100000000000001" customHeight="1" x14ac:dyDescent="0.3">
      <c r="Z1156" s="549"/>
    </row>
    <row r="1157" spans="13:26" ht="17.100000000000001" customHeight="1" x14ac:dyDescent="0.3">
      <c r="Z1157" s="549"/>
    </row>
    <row r="1158" spans="13:26" ht="17.100000000000001" customHeight="1" x14ac:dyDescent="0.3">
      <c r="Z1158" s="549"/>
    </row>
    <row r="1159" spans="13:26" ht="17.100000000000001" customHeight="1" x14ac:dyDescent="0.3">
      <c r="Z1159" s="549"/>
    </row>
    <row r="1160" spans="13:26" ht="17.100000000000001" customHeight="1" x14ac:dyDescent="0.3">
      <c r="Z1160" s="549"/>
    </row>
    <row r="1161" spans="13:26" ht="17.100000000000001" customHeight="1" x14ac:dyDescent="0.3">
      <c r="Z1161" s="549"/>
    </row>
    <row r="1162" spans="13:26" ht="17.100000000000001" customHeight="1" x14ac:dyDescent="0.3">
      <c r="Z1162" s="549"/>
    </row>
    <row r="1163" spans="13:26" ht="17.100000000000001" customHeight="1" x14ac:dyDescent="0.3">
      <c r="M1163" s="66">
        <v>2750000</v>
      </c>
      <c r="Z1163" s="549"/>
    </row>
    <row r="1164" spans="13:26" ht="17.100000000000001" customHeight="1" x14ac:dyDescent="0.3">
      <c r="Z1164" s="549"/>
    </row>
    <row r="1165" spans="13:26" ht="17.100000000000001" customHeight="1" x14ac:dyDescent="0.3">
      <c r="Z1165" s="549"/>
    </row>
    <row r="1166" spans="13:26" ht="17.100000000000001" customHeight="1" x14ac:dyDescent="0.3">
      <c r="Z1166" s="549"/>
    </row>
    <row r="1167" spans="13:26" ht="17.100000000000001" customHeight="1" x14ac:dyDescent="0.3">
      <c r="Z1167" s="549"/>
    </row>
    <row r="1168" spans="13:26" ht="17.100000000000001" customHeight="1" x14ac:dyDescent="0.3">
      <c r="Z1168" s="549"/>
    </row>
    <row r="1169" spans="26:26" ht="17.100000000000001" customHeight="1" x14ac:dyDescent="0.3">
      <c r="Z1169" s="549"/>
    </row>
    <row r="1170" spans="26:26" ht="17.100000000000001" customHeight="1" x14ac:dyDescent="0.3">
      <c r="Z1170" s="549"/>
    </row>
    <row r="1171" spans="26:26" ht="17.100000000000001" customHeight="1" x14ac:dyDescent="0.3">
      <c r="Z1171" s="549"/>
    </row>
    <row r="1172" spans="26:26" ht="17.100000000000001" customHeight="1" x14ac:dyDescent="0.3">
      <c r="Z1172" s="549"/>
    </row>
    <row r="1173" spans="26:26" ht="17.100000000000001" customHeight="1" x14ac:dyDescent="0.3">
      <c r="Z1173" s="549"/>
    </row>
    <row r="1174" spans="26:26" ht="17.100000000000001" customHeight="1" x14ac:dyDescent="0.3">
      <c r="Z1174" s="549"/>
    </row>
    <row r="1175" spans="26:26" ht="17.100000000000001" customHeight="1" x14ac:dyDescent="0.3">
      <c r="Z1175" s="549"/>
    </row>
    <row r="1176" spans="26:26" ht="17.100000000000001" customHeight="1" x14ac:dyDescent="0.3">
      <c r="Z1176" s="549"/>
    </row>
    <row r="1177" spans="26:26" ht="17.100000000000001" customHeight="1" x14ac:dyDescent="0.3">
      <c r="Z1177" s="549"/>
    </row>
    <row r="1178" spans="26:26" ht="17.100000000000001" customHeight="1" x14ac:dyDescent="0.3">
      <c r="Z1178" s="549"/>
    </row>
    <row r="1179" spans="26:26" ht="17.100000000000001" customHeight="1" x14ac:dyDescent="0.3">
      <c r="Z1179" s="549"/>
    </row>
    <row r="1180" spans="26:26" ht="17.100000000000001" customHeight="1" x14ac:dyDescent="0.3">
      <c r="Z1180" s="549"/>
    </row>
    <row r="1181" spans="26:26" ht="17.100000000000001" customHeight="1" x14ac:dyDescent="0.3">
      <c r="Z1181" s="549"/>
    </row>
    <row r="1182" spans="26:26" ht="17.100000000000001" customHeight="1" x14ac:dyDescent="0.3">
      <c r="Z1182" s="549"/>
    </row>
    <row r="1183" spans="26:26" ht="17.100000000000001" customHeight="1" x14ac:dyDescent="0.3">
      <c r="Z1183" s="549"/>
    </row>
    <row r="1184" spans="26:26" ht="17.100000000000001" customHeight="1" x14ac:dyDescent="0.3">
      <c r="Z1184" s="549"/>
    </row>
    <row r="1185" spans="7:26" ht="17.100000000000001" customHeight="1" x14ac:dyDescent="0.3">
      <c r="Z1185" s="549"/>
    </row>
    <row r="1186" spans="7:26" ht="17.100000000000001" customHeight="1" x14ac:dyDescent="0.3">
      <c r="G1186" s="455"/>
      <c r="Z1186" s="549"/>
    </row>
    <row r="1187" spans="7:26" ht="17.100000000000001" customHeight="1" x14ac:dyDescent="0.3">
      <c r="Z1187" s="549"/>
    </row>
    <row r="1188" spans="7:26" ht="17.100000000000001" customHeight="1" x14ac:dyDescent="0.3">
      <c r="Z1188" s="549"/>
    </row>
    <row r="1189" spans="7:26" ht="17.100000000000001" customHeight="1" x14ac:dyDescent="0.3">
      <c r="Z1189" s="549"/>
    </row>
    <row r="1190" spans="7:26" ht="17.100000000000001" customHeight="1" x14ac:dyDescent="0.3">
      <c r="Z1190" s="549"/>
    </row>
    <row r="1191" spans="7:26" ht="17.100000000000001" customHeight="1" x14ac:dyDescent="0.3">
      <c r="Z1191" s="549"/>
    </row>
    <row r="1192" spans="7:26" ht="17.100000000000001" customHeight="1" x14ac:dyDescent="0.3">
      <c r="Z1192" s="549"/>
    </row>
    <row r="1193" spans="7:26" ht="17.100000000000001" customHeight="1" x14ac:dyDescent="0.3">
      <c r="Z1193" s="549"/>
    </row>
    <row r="1194" spans="7:26" ht="17.100000000000001" customHeight="1" x14ac:dyDescent="0.3">
      <c r="Z1194" s="549"/>
    </row>
    <row r="1195" spans="7:26" ht="17.100000000000001" customHeight="1" x14ac:dyDescent="0.3">
      <c r="Z1195" s="549"/>
    </row>
    <row r="1196" spans="7:26" ht="17.100000000000001" customHeight="1" x14ac:dyDescent="0.3">
      <c r="Z1196" s="549"/>
    </row>
    <row r="1197" spans="7:26" ht="17.100000000000001" customHeight="1" x14ac:dyDescent="0.3">
      <c r="Z1197" s="549"/>
    </row>
    <row r="1198" spans="7:26" ht="17.100000000000001" customHeight="1" x14ac:dyDescent="0.3">
      <c r="Z1198" s="549"/>
    </row>
    <row r="1199" spans="7:26" ht="17.100000000000001" customHeight="1" x14ac:dyDescent="0.3">
      <c r="Z1199" s="549"/>
    </row>
    <row r="1200" spans="7:26" ht="17.100000000000001" customHeight="1" x14ac:dyDescent="0.3">
      <c r="Z1200" s="549"/>
    </row>
    <row r="1201" spans="26:26" ht="17.100000000000001" customHeight="1" x14ac:dyDescent="0.3">
      <c r="Z1201" s="549"/>
    </row>
    <row r="1202" spans="26:26" ht="17.100000000000001" customHeight="1" x14ac:dyDescent="0.3">
      <c r="Z1202" s="549"/>
    </row>
    <row r="1203" spans="26:26" ht="17.100000000000001" customHeight="1" x14ac:dyDescent="0.3">
      <c r="Z1203" s="549"/>
    </row>
    <row r="1204" spans="26:26" ht="17.100000000000001" customHeight="1" x14ac:dyDescent="0.3">
      <c r="Z1204" s="549"/>
    </row>
    <row r="1205" spans="26:26" ht="17.100000000000001" customHeight="1" x14ac:dyDescent="0.3">
      <c r="Z1205" s="549"/>
    </row>
    <row r="1206" spans="26:26" ht="17.100000000000001" customHeight="1" x14ac:dyDescent="0.3">
      <c r="Z1206" s="549"/>
    </row>
    <row r="1207" spans="26:26" ht="17.100000000000001" customHeight="1" x14ac:dyDescent="0.3">
      <c r="Z1207" s="549"/>
    </row>
    <row r="1208" spans="26:26" ht="17.100000000000001" customHeight="1" x14ac:dyDescent="0.3">
      <c r="Z1208" s="549"/>
    </row>
    <row r="1209" spans="26:26" ht="17.100000000000001" customHeight="1" x14ac:dyDescent="0.3">
      <c r="Z1209" s="549"/>
    </row>
    <row r="1210" spans="26:26" ht="17.100000000000001" customHeight="1" x14ac:dyDescent="0.3">
      <c r="Z1210" s="549"/>
    </row>
    <row r="1211" spans="26:26" ht="17.100000000000001" customHeight="1" x14ac:dyDescent="0.3">
      <c r="Z1211" s="549"/>
    </row>
    <row r="1212" spans="26:26" ht="17.100000000000001" customHeight="1" x14ac:dyDescent="0.3">
      <c r="Z1212" s="549"/>
    </row>
    <row r="1213" spans="26:26" ht="17.100000000000001" customHeight="1" x14ac:dyDescent="0.3">
      <c r="Z1213" s="549"/>
    </row>
    <row r="1214" spans="26:26" ht="17.100000000000001" customHeight="1" x14ac:dyDescent="0.3">
      <c r="Z1214" s="549"/>
    </row>
    <row r="1215" spans="26:26" ht="17.100000000000001" customHeight="1" x14ac:dyDescent="0.3">
      <c r="Z1215" s="549"/>
    </row>
    <row r="1216" spans="26:26" ht="17.100000000000001" customHeight="1" x14ac:dyDescent="0.3">
      <c r="Z1216" s="549"/>
    </row>
    <row r="1217" spans="26:26" ht="17.100000000000001" customHeight="1" x14ac:dyDescent="0.3">
      <c r="Z1217" s="549"/>
    </row>
    <row r="1218" spans="26:26" ht="17.100000000000001" customHeight="1" x14ac:dyDescent="0.3">
      <c r="Z1218" s="549"/>
    </row>
    <row r="1219" spans="26:26" ht="17.100000000000001" customHeight="1" x14ac:dyDescent="0.3">
      <c r="Z1219" s="549"/>
    </row>
    <row r="1220" spans="26:26" ht="17.100000000000001" customHeight="1" x14ac:dyDescent="0.3">
      <c r="Z1220" s="549"/>
    </row>
    <row r="1221" spans="26:26" ht="17.100000000000001" customHeight="1" x14ac:dyDescent="0.3">
      <c r="Z1221" s="549"/>
    </row>
    <row r="1222" spans="26:26" ht="17.100000000000001" customHeight="1" x14ac:dyDescent="0.3">
      <c r="Z1222" s="549"/>
    </row>
    <row r="1223" spans="26:26" ht="17.100000000000001" customHeight="1" x14ac:dyDescent="0.3">
      <c r="Z1223" s="549"/>
    </row>
    <row r="1224" spans="26:26" ht="17.100000000000001" customHeight="1" x14ac:dyDescent="0.3">
      <c r="Z1224" s="549"/>
    </row>
    <row r="1225" spans="26:26" ht="17.100000000000001" customHeight="1" x14ac:dyDescent="0.3">
      <c r="Z1225" s="549"/>
    </row>
    <row r="1226" spans="26:26" ht="17.100000000000001" customHeight="1" x14ac:dyDescent="0.3">
      <c r="Z1226" s="549"/>
    </row>
    <row r="1227" spans="26:26" ht="17.100000000000001" customHeight="1" x14ac:dyDescent="0.3">
      <c r="Z1227" s="549"/>
    </row>
    <row r="1228" spans="26:26" ht="17.100000000000001" customHeight="1" x14ac:dyDescent="0.3">
      <c r="Z1228" s="549"/>
    </row>
    <row r="1229" spans="26:26" ht="17.100000000000001" customHeight="1" x14ac:dyDescent="0.3">
      <c r="Z1229" s="549"/>
    </row>
    <row r="1230" spans="26:26" ht="17.100000000000001" customHeight="1" x14ac:dyDescent="0.3">
      <c r="Z1230" s="549"/>
    </row>
    <row r="1231" spans="26:26" ht="17.100000000000001" customHeight="1" x14ac:dyDescent="0.3">
      <c r="Z1231" s="549"/>
    </row>
    <row r="1232" spans="26:26" ht="17.100000000000001" customHeight="1" x14ac:dyDescent="0.3">
      <c r="Z1232" s="549"/>
    </row>
    <row r="1233" spans="26:26" ht="17.100000000000001" customHeight="1" x14ac:dyDescent="0.3">
      <c r="Z1233" s="549"/>
    </row>
    <row r="1234" spans="26:26" ht="17.100000000000001" customHeight="1" x14ac:dyDescent="0.3">
      <c r="Z1234" s="549"/>
    </row>
    <row r="1235" spans="26:26" ht="17.100000000000001" customHeight="1" x14ac:dyDescent="0.3">
      <c r="Z1235" s="549"/>
    </row>
    <row r="1236" spans="26:26" ht="17.100000000000001" customHeight="1" x14ac:dyDescent="0.3">
      <c r="Z1236" s="549"/>
    </row>
    <row r="1237" spans="26:26" ht="17.100000000000001" customHeight="1" x14ac:dyDescent="0.3">
      <c r="Z1237" s="549"/>
    </row>
    <row r="1238" spans="26:26" ht="17.100000000000001" customHeight="1" x14ac:dyDescent="0.3">
      <c r="Z1238" s="549"/>
    </row>
    <row r="1239" spans="26:26" ht="17.100000000000001" customHeight="1" x14ac:dyDescent="0.3">
      <c r="Z1239" s="549"/>
    </row>
    <row r="1240" spans="26:26" ht="17.100000000000001" customHeight="1" x14ac:dyDescent="0.3">
      <c r="Z1240" s="549"/>
    </row>
    <row r="1241" spans="26:26" ht="17.100000000000001" customHeight="1" x14ac:dyDescent="0.3">
      <c r="Z1241" s="549"/>
    </row>
    <row r="1242" spans="26:26" ht="17.100000000000001" customHeight="1" x14ac:dyDescent="0.3">
      <c r="Z1242" s="549"/>
    </row>
    <row r="1243" spans="26:26" ht="17.100000000000001" customHeight="1" x14ac:dyDescent="0.3">
      <c r="Z1243" s="549"/>
    </row>
    <row r="1244" spans="26:26" ht="17.100000000000001" customHeight="1" x14ac:dyDescent="0.3">
      <c r="Z1244" s="549"/>
    </row>
    <row r="1245" spans="26:26" ht="17.100000000000001" customHeight="1" x14ac:dyDescent="0.3">
      <c r="Z1245" s="549"/>
    </row>
    <row r="1246" spans="26:26" ht="17.100000000000001" customHeight="1" x14ac:dyDescent="0.3">
      <c r="Z1246" s="549"/>
    </row>
    <row r="1247" spans="26:26" ht="17.100000000000001" customHeight="1" x14ac:dyDescent="0.3">
      <c r="Z1247" s="549"/>
    </row>
    <row r="1248" spans="26:26" ht="17.100000000000001" customHeight="1" x14ac:dyDescent="0.3">
      <c r="Z1248" s="549"/>
    </row>
    <row r="1249" spans="26:26" ht="17.100000000000001" customHeight="1" x14ac:dyDescent="0.3">
      <c r="Z1249" s="549"/>
    </row>
    <row r="1250" spans="26:26" ht="17.100000000000001" customHeight="1" x14ac:dyDescent="0.3">
      <c r="Z1250" s="549"/>
    </row>
    <row r="1251" spans="26:26" ht="17.100000000000001" customHeight="1" x14ac:dyDescent="0.3">
      <c r="Z1251" s="549"/>
    </row>
    <row r="1252" spans="26:26" ht="17.100000000000001" customHeight="1" x14ac:dyDescent="0.3">
      <c r="Z1252" s="549"/>
    </row>
    <row r="1253" spans="26:26" ht="17.100000000000001" customHeight="1" x14ac:dyDescent="0.3">
      <c r="Z1253" s="549"/>
    </row>
    <row r="1254" spans="26:26" ht="17.100000000000001" customHeight="1" x14ac:dyDescent="0.3">
      <c r="Z1254" s="549"/>
    </row>
    <row r="1255" spans="26:26" ht="17.100000000000001" customHeight="1" x14ac:dyDescent="0.3">
      <c r="Z1255" s="549"/>
    </row>
    <row r="1256" spans="26:26" ht="17.100000000000001" customHeight="1" x14ac:dyDescent="0.3">
      <c r="Z1256" s="549"/>
    </row>
    <row r="1257" spans="26:26" ht="17.100000000000001" customHeight="1" x14ac:dyDescent="0.3">
      <c r="Z1257" s="549"/>
    </row>
    <row r="1258" spans="26:26" ht="17.100000000000001" customHeight="1" x14ac:dyDescent="0.3">
      <c r="Z1258" s="549"/>
    </row>
    <row r="1259" spans="26:26" ht="17.100000000000001" customHeight="1" x14ac:dyDescent="0.3">
      <c r="Z1259" s="549"/>
    </row>
    <row r="1260" spans="26:26" ht="17.100000000000001" customHeight="1" x14ac:dyDescent="0.3">
      <c r="Z1260" s="549"/>
    </row>
    <row r="1261" spans="26:26" ht="17.100000000000001" customHeight="1" x14ac:dyDescent="0.3">
      <c r="Z1261" s="549"/>
    </row>
    <row r="1262" spans="26:26" ht="17.100000000000001" customHeight="1" x14ac:dyDescent="0.3">
      <c r="Z1262" s="549"/>
    </row>
    <row r="1263" spans="26:26" ht="17.100000000000001" customHeight="1" x14ac:dyDescent="0.3">
      <c r="Z1263" s="549"/>
    </row>
    <row r="1264" spans="26:26" ht="17.100000000000001" customHeight="1" x14ac:dyDescent="0.3">
      <c r="Z1264" s="549"/>
    </row>
    <row r="1265" spans="26:26" ht="17.100000000000001" customHeight="1" x14ac:dyDescent="0.3">
      <c r="Z1265" s="549"/>
    </row>
    <row r="1266" spans="26:26" ht="17.100000000000001" customHeight="1" x14ac:dyDescent="0.3">
      <c r="Z1266" s="549"/>
    </row>
    <row r="1267" spans="26:26" ht="17.100000000000001" customHeight="1" x14ac:dyDescent="0.3">
      <c r="Z1267" s="549"/>
    </row>
    <row r="1268" spans="26:26" ht="17.100000000000001" customHeight="1" x14ac:dyDescent="0.3">
      <c r="Z1268" s="549"/>
    </row>
    <row r="1269" spans="26:26" ht="17.100000000000001" customHeight="1" x14ac:dyDescent="0.3">
      <c r="Z1269" s="549"/>
    </row>
    <row r="1270" spans="26:26" ht="17.100000000000001" customHeight="1" x14ac:dyDescent="0.3">
      <c r="Z1270" s="549"/>
    </row>
    <row r="1271" spans="26:26" ht="17.100000000000001" customHeight="1" x14ac:dyDescent="0.3">
      <c r="Z1271" s="549"/>
    </row>
    <row r="1272" spans="26:26" ht="17.100000000000001" customHeight="1" x14ac:dyDescent="0.3">
      <c r="Z1272" s="549"/>
    </row>
    <row r="1273" spans="26:26" ht="17.100000000000001" customHeight="1" x14ac:dyDescent="0.3">
      <c r="Z1273" s="549"/>
    </row>
    <row r="1274" spans="26:26" ht="17.100000000000001" customHeight="1" x14ac:dyDescent="0.3">
      <c r="Z1274" s="549"/>
    </row>
    <row r="1275" spans="26:26" ht="17.100000000000001" customHeight="1" x14ac:dyDescent="0.3">
      <c r="Z1275" s="549"/>
    </row>
    <row r="1276" spans="26:26" ht="17.100000000000001" customHeight="1" x14ac:dyDescent="0.3">
      <c r="Z1276" s="549"/>
    </row>
    <row r="1277" spans="26:26" ht="17.100000000000001" customHeight="1" x14ac:dyDescent="0.3">
      <c r="Z1277" s="549"/>
    </row>
    <row r="1278" spans="26:26" ht="17.100000000000001" customHeight="1" x14ac:dyDescent="0.3">
      <c r="Z1278" s="549"/>
    </row>
    <row r="1279" spans="26:26" ht="17.100000000000001" customHeight="1" x14ac:dyDescent="0.3">
      <c r="Z1279" s="549"/>
    </row>
    <row r="1280" spans="26:26" ht="17.100000000000001" customHeight="1" x14ac:dyDescent="0.3">
      <c r="Z1280" s="549"/>
    </row>
    <row r="1281" spans="26:26" ht="17.100000000000001" customHeight="1" x14ac:dyDescent="0.3">
      <c r="Z1281" s="549"/>
    </row>
    <row r="1282" spans="26:26" ht="17.100000000000001" customHeight="1" x14ac:dyDescent="0.3">
      <c r="Z1282" s="549"/>
    </row>
    <row r="1283" spans="26:26" ht="17.100000000000001" customHeight="1" x14ac:dyDescent="0.3">
      <c r="Z1283" s="549"/>
    </row>
    <row r="1284" spans="26:26" ht="17.100000000000001" customHeight="1" x14ac:dyDescent="0.3">
      <c r="Z1284" s="549"/>
    </row>
    <row r="1285" spans="26:26" ht="17.100000000000001" customHeight="1" x14ac:dyDescent="0.3">
      <c r="Z1285" s="549"/>
    </row>
    <row r="1286" spans="26:26" ht="17.100000000000001" customHeight="1" x14ac:dyDescent="0.3">
      <c r="Z1286" s="549"/>
    </row>
    <row r="1287" spans="26:26" ht="17.100000000000001" customHeight="1" x14ac:dyDescent="0.3">
      <c r="Z1287" s="549"/>
    </row>
    <row r="1288" spans="26:26" ht="17.100000000000001" customHeight="1" x14ac:dyDescent="0.3">
      <c r="Z1288" s="549"/>
    </row>
    <row r="1289" spans="26:26" ht="17.100000000000001" customHeight="1" x14ac:dyDescent="0.3">
      <c r="Z1289" s="549"/>
    </row>
    <row r="1290" spans="26:26" ht="17.100000000000001" customHeight="1" x14ac:dyDescent="0.3">
      <c r="Z1290" s="549"/>
    </row>
    <row r="1291" spans="26:26" ht="17.100000000000001" customHeight="1" x14ac:dyDescent="0.3">
      <c r="Z1291" s="549"/>
    </row>
    <row r="1292" spans="26:26" ht="17.100000000000001" customHeight="1" x14ac:dyDescent="0.3">
      <c r="Z1292" s="549"/>
    </row>
    <row r="1293" spans="26:26" ht="17.100000000000001" customHeight="1" x14ac:dyDescent="0.3">
      <c r="Z1293" s="549"/>
    </row>
    <row r="1294" spans="26:26" ht="17.100000000000001" customHeight="1" x14ac:dyDescent="0.3">
      <c r="Z1294" s="549"/>
    </row>
    <row r="1295" spans="26:26" ht="17.100000000000001" customHeight="1" x14ac:dyDescent="0.3">
      <c r="Z1295" s="549"/>
    </row>
    <row r="1296" spans="26:26" ht="17.100000000000001" customHeight="1" x14ac:dyDescent="0.3">
      <c r="Z1296" s="549"/>
    </row>
    <row r="1297" spans="10:43" ht="17.100000000000001" customHeight="1" x14ac:dyDescent="0.3">
      <c r="Z1297" s="549"/>
    </row>
    <row r="1298" spans="10:43" ht="17.100000000000001" customHeight="1" x14ac:dyDescent="0.3">
      <c r="Z1298" s="549"/>
    </row>
    <row r="1299" spans="10:43" ht="17.100000000000001" customHeight="1" x14ac:dyDescent="0.3">
      <c r="Z1299" s="549"/>
    </row>
    <row r="1300" spans="10:43" ht="17.100000000000001" customHeight="1" x14ac:dyDescent="0.3">
      <c r="Z1300" s="549"/>
    </row>
    <row r="1301" spans="10:43" ht="17.100000000000001" customHeight="1" x14ac:dyDescent="0.3">
      <c r="Z1301" s="549"/>
    </row>
    <row r="1302" spans="10:43" ht="17.100000000000001" customHeight="1" x14ac:dyDescent="0.3">
      <c r="Z1302" s="549"/>
    </row>
    <row r="1303" spans="10:43" ht="17.100000000000001" customHeight="1" x14ac:dyDescent="0.3">
      <c r="Z1303" s="549"/>
    </row>
    <row r="1304" spans="10:43" ht="17.100000000000001" customHeight="1" x14ac:dyDescent="0.3">
      <c r="Z1304" s="549"/>
    </row>
    <row r="1305" spans="10:43" ht="17.100000000000001" customHeight="1" x14ac:dyDescent="0.3">
      <c r="Z1305" s="549"/>
    </row>
    <row r="1306" spans="10:43" ht="17.100000000000001" customHeight="1" x14ac:dyDescent="0.3">
      <c r="Z1306" s="549"/>
    </row>
    <row r="1307" spans="10:43" ht="17.100000000000001" customHeight="1" x14ac:dyDescent="0.3">
      <c r="J1307" s="455" t="s">
        <v>793</v>
      </c>
      <c r="Z1307" s="549"/>
      <c r="AQ1307" s="321">
        <v>45869</v>
      </c>
    </row>
    <row r="1308" spans="10:43" ht="17.100000000000001" customHeight="1" x14ac:dyDescent="0.3">
      <c r="Z1308" s="549"/>
    </row>
    <row r="1309" spans="10:43" ht="17.100000000000001" customHeight="1" x14ac:dyDescent="0.3">
      <c r="Z1309" s="549"/>
    </row>
    <row r="1310" spans="10:43" ht="17.100000000000001" customHeight="1" x14ac:dyDescent="0.3">
      <c r="Z1310" s="549"/>
    </row>
    <row r="1311" spans="10:43" ht="17.100000000000001" customHeight="1" x14ac:dyDescent="0.3">
      <c r="Z1311" s="549"/>
    </row>
    <row r="1312" spans="10:43" ht="17.100000000000001" customHeight="1" x14ac:dyDescent="0.3">
      <c r="Z1312" s="549"/>
    </row>
    <row r="1313" spans="26:26" ht="17.100000000000001" customHeight="1" x14ac:dyDescent="0.3">
      <c r="Z1313" s="549"/>
    </row>
    <row r="1314" spans="26:26" ht="17.100000000000001" customHeight="1" x14ac:dyDescent="0.3">
      <c r="Z1314" s="549"/>
    </row>
    <row r="1315" spans="26:26" ht="17.100000000000001" customHeight="1" x14ac:dyDescent="0.3">
      <c r="Z1315" s="549"/>
    </row>
    <row r="1316" spans="26:26" ht="17.100000000000001" customHeight="1" x14ac:dyDescent="0.3">
      <c r="Z1316" s="549"/>
    </row>
    <row r="1317" spans="26:26" ht="17.100000000000001" customHeight="1" x14ac:dyDescent="0.3">
      <c r="Z1317" s="549"/>
    </row>
    <row r="1318" spans="26:26" ht="17.100000000000001" customHeight="1" x14ac:dyDescent="0.3">
      <c r="Z1318" s="549"/>
    </row>
    <row r="1319" spans="26:26" ht="17.100000000000001" customHeight="1" x14ac:dyDescent="0.3">
      <c r="Z1319" s="549"/>
    </row>
    <row r="1320" spans="26:26" ht="17.100000000000001" customHeight="1" x14ac:dyDescent="0.3">
      <c r="Z1320" s="549"/>
    </row>
    <row r="1321" spans="26:26" ht="17.100000000000001" customHeight="1" x14ac:dyDescent="0.3">
      <c r="Z1321" s="549"/>
    </row>
    <row r="1322" spans="26:26" ht="17.100000000000001" customHeight="1" x14ac:dyDescent="0.3">
      <c r="Z1322" s="549"/>
    </row>
    <row r="1323" spans="26:26" ht="17.100000000000001" customHeight="1" x14ac:dyDescent="0.3">
      <c r="Z1323" s="549"/>
    </row>
    <row r="1324" spans="26:26" ht="17.100000000000001" customHeight="1" x14ac:dyDescent="0.3">
      <c r="Z1324" s="549"/>
    </row>
    <row r="1325" spans="26:26" ht="17.100000000000001" customHeight="1" x14ac:dyDescent="0.3">
      <c r="Z1325" s="549"/>
    </row>
    <row r="1326" spans="26:26" ht="17.100000000000001" customHeight="1" x14ac:dyDescent="0.3">
      <c r="Z1326" s="549"/>
    </row>
    <row r="1327" spans="26:26" ht="17.100000000000001" customHeight="1" x14ac:dyDescent="0.3">
      <c r="Z1327" s="549"/>
    </row>
    <row r="1328" spans="26:26" ht="17.100000000000001" customHeight="1" x14ac:dyDescent="0.3">
      <c r="Z1328" s="549"/>
    </row>
    <row r="1329" spans="26:26" ht="17.100000000000001" customHeight="1" x14ac:dyDescent="0.3">
      <c r="Z1329" s="549"/>
    </row>
    <row r="1330" spans="26:26" ht="17.100000000000001" customHeight="1" x14ac:dyDescent="0.3">
      <c r="Z1330" s="549"/>
    </row>
    <row r="1331" spans="26:26" ht="17.100000000000001" customHeight="1" x14ac:dyDescent="0.3">
      <c r="Z1331" s="549"/>
    </row>
    <row r="1332" spans="26:26" ht="17.100000000000001" customHeight="1" x14ac:dyDescent="0.3">
      <c r="Z1332" s="549"/>
    </row>
    <row r="1333" spans="26:26" ht="17.100000000000001" customHeight="1" x14ac:dyDescent="0.3">
      <c r="Z1333" s="549"/>
    </row>
    <row r="1334" spans="26:26" ht="17.100000000000001" customHeight="1" x14ac:dyDescent="0.3">
      <c r="Z1334" s="549"/>
    </row>
    <row r="1335" spans="26:26" ht="17.100000000000001" customHeight="1" x14ac:dyDescent="0.3">
      <c r="Z1335" s="549"/>
    </row>
    <row r="1336" spans="26:26" ht="17.100000000000001" customHeight="1" x14ac:dyDescent="0.3">
      <c r="Z1336" s="549"/>
    </row>
    <row r="1337" spans="26:26" ht="17.100000000000001" customHeight="1" x14ac:dyDescent="0.3">
      <c r="Z1337" s="549"/>
    </row>
    <row r="1338" spans="26:26" ht="17.100000000000001" customHeight="1" x14ac:dyDescent="0.3">
      <c r="Z1338" s="549"/>
    </row>
    <row r="1339" spans="26:26" ht="17.100000000000001" customHeight="1" x14ac:dyDescent="0.3">
      <c r="Z1339" s="549"/>
    </row>
    <row r="1340" spans="26:26" ht="17.100000000000001" customHeight="1" x14ac:dyDescent="0.3">
      <c r="Z1340" s="549"/>
    </row>
    <row r="1341" spans="26:26" ht="17.100000000000001" customHeight="1" x14ac:dyDescent="0.3">
      <c r="Z1341" s="549"/>
    </row>
    <row r="1342" spans="26:26" ht="17.100000000000001" customHeight="1" x14ac:dyDescent="0.3">
      <c r="Z1342" s="549"/>
    </row>
    <row r="1343" spans="26:26" ht="17.100000000000001" customHeight="1" x14ac:dyDescent="0.3">
      <c r="Z1343" s="549"/>
    </row>
    <row r="1344" spans="26:26" ht="17.100000000000001" customHeight="1" x14ac:dyDescent="0.3">
      <c r="Z1344" s="549"/>
    </row>
    <row r="1345" spans="26:26" ht="17.100000000000001" customHeight="1" x14ac:dyDescent="0.3">
      <c r="Z1345" s="549"/>
    </row>
    <row r="1346" spans="26:26" ht="17.100000000000001" customHeight="1" x14ac:dyDescent="0.3">
      <c r="Z1346" s="549"/>
    </row>
    <row r="1347" spans="26:26" ht="17.100000000000001" customHeight="1" x14ac:dyDescent="0.3">
      <c r="Z1347" s="549"/>
    </row>
    <row r="1348" spans="26:26" ht="17.100000000000001" customHeight="1" x14ac:dyDescent="0.3">
      <c r="Z1348" s="549"/>
    </row>
    <row r="1349" spans="26:26" ht="17.100000000000001" customHeight="1" x14ac:dyDescent="0.3">
      <c r="Z1349" s="549"/>
    </row>
    <row r="1350" spans="26:26" ht="17.100000000000001" customHeight="1" x14ac:dyDescent="0.3">
      <c r="Z1350" s="549"/>
    </row>
    <row r="1351" spans="26:26" ht="17.100000000000001" customHeight="1" x14ac:dyDescent="0.3">
      <c r="Z1351" s="549"/>
    </row>
    <row r="1352" spans="26:26" ht="17.100000000000001" customHeight="1" x14ac:dyDescent="0.3">
      <c r="Z1352" s="549"/>
    </row>
    <row r="1353" spans="26:26" ht="17.100000000000001" customHeight="1" x14ac:dyDescent="0.3">
      <c r="Z1353" s="549"/>
    </row>
    <row r="1354" spans="26:26" ht="17.100000000000001" customHeight="1" x14ac:dyDescent="0.3">
      <c r="Z1354" s="549"/>
    </row>
    <row r="1355" spans="26:26" ht="17.100000000000001" customHeight="1" x14ac:dyDescent="0.3">
      <c r="Z1355" s="549"/>
    </row>
    <row r="1356" spans="26:26" ht="17.100000000000001" customHeight="1" x14ac:dyDescent="0.3">
      <c r="Z1356" s="549"/>
    </row>
    <row r="1357" spans="26:26" ht="17.100000000000001" customHeight="1" x14ac:dyDescent="0.3">
      <c r="Z1357" s="549"/>
    </row>
    <row r="1358" spans="26:26" ht="17.100000000000001" customHeight="1" x14ac:dyDescent="0.3">
      <c r="Z1358" s="549"/>
    </row>
    <row r="1359" spans="26:26" ht="17.100000000000001" customHeight="1" x14ac:dyDescent="0.3">
      <c r="Z1359" s="549"/>
    </row>
    <row r="1360" spans="26:26" ht="17.100000000000001" customHeight="1" x14ac:dyDescent="0.3">
      <c r="Z1360" s="549"/>
    </row>
    <row r="1361" spans="26:26" ht="17.100000000000001" customHeight="1" x14ac:dyDescent="0.3">
      <c r="Z1361" s="549"/>
    </row>
    <row r="1362" spans="26:26" ht="17.100000000000001" customHeight="1" x14ac:dyDescent="0.3">
      <c r="Z1362" s="549"/>
    </row>
    <row r="1363" spans="26:26" ht="17.100000000000001" customHeight="1" x14ac:dyDescent="0.3">
      <c r="Z1363" s="549"/>
    </row>
    <row r="1364" spans="26:26" ht="17.100000000000001" customHeight="1" x14ac:dyDescent="0.3">
      <c r="Z1364" s="549"/>
    </row>
    <row r="1365" spans="26:26" ht="17.100000000000001" customHeight="1" x14ac:dyDescent="0.3">
      <c r="Z1365" s="549"/>
    </row>
    <row r="1366" spans="26:26" ht="17.100000000000001" customHeight="1" x14ac:dyDescent="0.3">
      <c r="Z1366" s="549"/>
    </row>
    <row r="1367" spans="26:26" ht="17.100000000000001" customHeight="1" x14ac:dyDescent="0.3">
      <c r="Z1367" s="549"/>
    </row>
    <row r="1368" spans="26:26" ht="17.100000000000001" customHeight="1" x14ac:dyDescent="0.3">
      <c r="Z1368" s="549"/>
    </row>
    <row r="1369" spans="26:26" ht="17.100000000000001" customHeight="1" x14ac:dyDescent="0.3">
      <c r="Z1369" s="549"/>
    </row>
    <row r="1370" spans="26:26" ht="17.100000000000001" customHeight="1" x14ac:dyDescent="0.3">
      <c r="Z1370" s="549"/>
    </row>
    <row r="1371" spans="26:26" ht="17.100000000000001" customHeight="1" x14ac:dyDescent="0.3">
      <c r="Z1371" s="549"/>
    </row>
    <row r="1372" spans="26:26" ht="17.100000000000001" customHeight="1" x14ac:dyDescent="0.3">
      <c r="Z1372" s="549"/>
    </row>
    <row r="1373" spans="26:26" ht="17.100000000000001" customHeight="1" x14ac:dyDescent="0.3">
      <c r="Z1373" s="549"/>
    </row>
    <row r="1374" spans="26:26" ht="17.100000000000001" customHeight="1" x14ac:dyDescent="0.3">
      <c r="Z1374" s="549"/>
    </row>
    <row r="1375" spans="26:26" ht="17.100000000000001" customHeight="1" x14ac:dyDescent="0.3">
      <c r="Z1375" s="549"/>
    </row>
    <row r="1376" spans="26:26" ht="17.100000000000001" customHeight="1" x14ac:dyDescent="0.3">
      <c r="Z1376" s="549"/>
    </row>
    <row r="1377" spans="13:26" ht="17.100000000000001" customHeight="1" x14ac:dyDescent="0.3">
      <c r="Z1377" s="549"/>
    </row>
    <row r="1378" spans="13:26" ht="17.100000000000001" customHeight="1" x14ac:dyDescent="0.3">
      <c r="M1378" s="66">
        <v>1</v>
      </c>
      <c r="Z1378" s="549"/>
    </row>
    <row r="1379" spans="13:26" ht="17.100000000000001" customHeight="1" x14ac:dyDescent="0.3">
      <c r="Z1379" s="549"/>
    </row>
    <row r="1380" spans="13:26" ht="17.100000000000001" customHeight="1" x14ac:dyDescent="0.3">
      <c r="Z1380" s="549"/>
    </row>
    <row r="1381" spans="13:26" ht="17.100000000000001" customHeight="1" x14ac:dyDescent="0.3">
      <c r="Z1381" s="549"/>
    </row>
    <row r="1382" spans="13:26" ht="17.100000000000001" customHeight="1" x14ac:dyDescent="0.3">
      <c r="Z1382" s="549"/>
    </row>
    <row r="1383" spans="13:26" ht="17.100000000000001" customHeight="1" x14ac:dyDescent="0.3">
      <c r="Z1383" s="549"/>
    </row>
    <row r="1384" spans="13:26" ht="17.100000000000001" customHeight="1" x14ac:dyDescent="0.3">
      <c r="Z1384" s="549"/>
    </row>
    <row r="1385" spans="13:26" ht="17.100000000000001" customHeight="1" x14ac:dyDescent="0.3">
      <c r="Z1385" s="549"/>
    </row>
    <row r="1386" spans="13:26" ht="17.100000000000001" customHeight="1" x14ac:dyDescent="0.3">
      <c r="Z1386" s="549"/>
    </row>
    <row r="1387" spans="13:26" ht="17.100000000000001" customHeight="1" x14ac:dyDescent="0.3">
      <c r="Z1387" s="549"/>
    </row>
    <row r="1388" spans="13:26" ht="17.100000000000001" customHeight="1" x14ac:dyDescent="0.3">
      <c r="Z1388" s="549"/>
    </row>
    <row r="1389" spans="13:26" ht="17.100000000000001" customHeight="1" x14ac:dyDescent="0.3">
      <c r="Z1389" s="549"/>
    </row>
    <row r="1390" spans="13:26" ht="17.100000000000001" customHeight="1" x14ac:dyDescent="0.3">
      <c r="Z1390" s="549"/>
    </row>
    <row r="1391" spans="13:26" ht="17.100000000000001" customHeight="1" x14ac:dyDescent="0.3">
      <c r="Z1391" s="549"/>
    </row>
    <row r="1392" spans="13:26" ht="17.100000000000001" customHeight="1" x14ac:dyDescent="0.3">
      <c r="Z1392" s="549"/>
    </row>
    <row r="1393" spans="26:26" ht="17.100000000000001" customHeight="1" x14ac:dyDescent="0.3">
      <c r="Z1393" s="549"/>
    </row>
    <row r="1394" spans="26:26" ht="17.100000000000001" customHeight="1" x14ac:dyDescent="0.3">
      <c r="Z1394" s="549"/>
    </row>
    <row r="1395" spans="26:26" ht="17.100000000000001" customHeight="1" x14ac:dyDescent="0.3">
      <c r="Z1395" s="549"/>
    </row>
    <row r="1396" spans="26:26" ht="17.100000000000001" customHeight="1" x14ac:dyDescent="0.3">
      <c r="Z1396" s="549"/>
    </row>
    <row r="1397" spans="26:26" ht="17.100000000000001" customHeight="1" x14ac:dyDescent="0.3">
      <c r="Z1397" s="549"/>
    </row>
    <row r="1398" spans="26:26" ht="17.100000000000001" customHeight="1" x14ac:dyDescent="0.3">
      <c r="Z1398" s="549"/>
    </row>
    <row r="1399" spans="26:26" ht="17.100000000000001" customHeight="1" x14ac:dyDescent="0.3">
      <c r="Z1399" s="549"/>
    </row>
    <row r="1400" spans="26:26" ht="17.100000000000001" customHeight="1" x14ac:dyDescent="0.3">
      <c r="Z1400" s="549"/>
    </row>
    <row r="1401" spans="26:26" ht="17.100000000000001" customHeight="1" x14ac:dyDescent="0.3">
      <c r="Z1401" s="549"/>
    </row>
    <row r="1402" spans="26:26" ht="17.100000000000001" customHeight="1" x14ac:dyDescent="0.3">
      <c r="Z1402" s="549"/>
    </row>
    <row r="1403" spans="26:26" ht="17.100000000000001" customHeight="1" x14ac:dyDescent="0.3">
      <c r="Z1403" s="549"/>
    </row>
    <row r="1404" spans="26:26" ht="17.100000000000001" customHeight="1" x14ac:dyDescent="0.3">
      <c r="Z1404" s="549"/>
    </row>
    <row r="1405" spans="26:26" ht="17.100000000000001" customHeight="1" x14ac:dyDescent="0.3">
      <c r="Z1405" s="549"/>
    </row>
    <row r="1406" spans="26:26" ht="17.100000000000001" customHeight="1" x14ac:dyDescent="0.3">
      <c r="Z1406" s="549"/>
    </row>
    <row r="1407" spans="26:26" ht="17.100000000000001" customHeight="1" x14ac:dyDescent="0.3">
      <c r="Z1407" s="549"/>
    </row>
    <row r="1408" spans="26:26" ht="17.100000000000001" customHeight="1" x14ac:dyDescent="0.3">
      <c r="Z1408" s="549"/>
    </row>
    <row r="1409" spans="26:26" ht="17.100000000000001" customHeight="1" x14ac:dyDescent="0.3">
      <c r="Z1409" s="549"/>
    </row>
    <row r="1410" spans="26:26" ht="17.100000000000001" customHeight="1" x14ac:dyDescent="0.3">
      <c r="Z1410" s="549"/>
    </row>
    <row r="1411" spans="26:26" ht="17.100000000000001" customHeight="1" x14ac:dyDescent="0.3">
      <c r="Z1411" s="549"/>
    </row>
    <row r="1412" spans="26:26" ht="17.100000000000001" customHeight="1" x14ac:dyDescent="0.3">
      <c r="Z1412" s="549"/>
    </row>
    <row r="1413" spans="26:26" ht="17.100000000000001" customHeight="1" x14ac:dyDescent="0.3">
      <c r="Z1413" s="549"/>
    </row>
    <row r="1414" spans="26:26" ht="17.100000000000001" customHeight="1" x14ac:dyDescent="0.3">
      <c r="Z1414" s="549"/>
    </row>
    <row r="1415" spans="26:26" ht="17.100000000000001" customHeight="1" x14ac:dyDescent="0.3">
      <c r="Z1415" s="549"/>
    </row>
    <row r="1416" spans="26:26" ht="17.100000000000001" customHeight="1" x14ac:dyDescent="0.3">
      <c r="Z1416" s="549"/>
    </row>
    <row r="1417" spans="26:26" ht="17.100000000000001" customHeight="1" x14ac:dyDescent="0.3">
      <c r="Z1417" s="549"/>
    </row>
    <row r="1418" spans="26:26" ht="17.100000000000001" customHeight="1" x14ac:dyDescent="0.3">
      <c r="Z1418" s="549"/>
    </row>
    <row r="1419" spans="26:26" ht="17.100000000000001" customHeight="1" x14ac:dyDescent="0.3">
      <c r="Z1419" s="549"/>
    </row>
    <row r="1420" spans="26:26" ht="17.100000000000001" customHeight="1" x14ac:dyDescent="0.3">
      <c r="Z1420" s="549"/>
    </row>
    <row r="1421" spans="26:26" ht="17.100000000000001" customHeight="1" x14ac:dyDescent="0.3">
      <c r="Z1421" s="549"/>
    </row>
    <row r="1422" spans="26:26" ht="17.100000000000001" customHeight="1" x14ac:dyDescent="0.3">
      <c r="Z1422" s="549"/>
    </row>
    <row r="1423" spans="26:26" ht="17.100000000000001" customHeight="1" x14ac:dyDescent="0.3">
      <c r="Z1423" s="549"/>
    </row>
    <row r="1424" spans="26:26" ht="17.100000000000001" customHeight="1" x14ac:dyDescent="0.3">
      <c r="Z1424" s="549"/>
    </row>
    <row r="1425" spans="26:26" ht="17.100000000000001" customHeight="1" x14ac:dyDescent="0.3">
      <c r="Z1425" s="549"/>
    </row>
    <row r="1426" spans="26:26" ht="17.100000000000001" customHeight="1" x14ac:dyDescent="0.3">
      <c r="Z1426" s="549"/>
    </row>
    <row r="1427" spans="26:26" ht="17.100000000000001" customHeight="1" x14ac:dyDescent="0.3">
      <c r="Z1427" s="549"/>
    </row>
    <row r="1428" spans="26:26" ht="17.100000000000001" customHeight="1" x14ac:dyDescent="0.3">
      <c r="Z1428" s="549"/>
    </row>
    <row r="1429" spans="26:26" ht="17.100000000000001" customHeight="1" x14ac:dyDescent="0.3">
      <c r="Z1429" s="549"/>
    </row>
    <row r="1430" spans="26:26" ht="17.100000000000001" customHeight="1" x14ac:dyDescent="0.3">
      <c r="Z1430" s="549"/>
    </row>
    <row r="1431" spans="26:26" ht="17.100000000000001" customHeight="1" x14ac:dyDescent="0.3">
      <c r="Z1431" s="549"/>
    </row>
    <row r="1432" spans="26:26" ht="17.100000000000001" customHeight="1" x14ac:dyDescent="0.3">
      <c r="Z1432" s="549"/>
    </row>
    <row r="1433" spans="26:26" ht="17.100000000000001" customHeight="1" x14ac:dyDescent="0.3">
      <c r="Z1433" s="549"/>
    </row>
    <row r="1434" spans="26:26" ht="17.100000000000001" customHeight="1" x14ac:dyDescent="0.3">
      <c r="Z1434" s="549"/>
    </row>
    <row r="1435" spans="26:26" ht="17.100000000000001" customHeight="1" x14ac:dyDescent="0.3">
      <c r="Z1435" s="549"/>
    </row>
    <row r="1436" spans="26:26" ht="17.100000000000001" customHeight="1" x14ac:dyDescent="0.3">
      <c r="Z1436" s="549"/>
    </row>
    <row r="1437" spans="26:26" ht="17.100000000000001" customHeight="1" x14ac:dyDescent="0.3">
      <c r="Z1437" s="549"/>
    </row>
    <row r="1438" spans="26:26" ht="17.100000000000001" customHeight="1" x14ac:dyDescent="0.3">
      <c r="Z1438" s="549"/>
    </row>
    <row r="1439" spans="26:26" ht="17.100000000000001" customHeight="1" x14ac:dyDescent="0.3">
      <c r="Z1439" s="549"/>
    </row>
    <row r="1440" spans="26:26" ht="17.100000000000001" customHeight="1" x14ac:dyDescent="0.3">
      <c r="Z1440" s="549"/>
    </row>
    <row r="1441" spans="26:26" ht="17.100000000000001" customHeight="1" x14ac:dyDescent="0.3">
      <c r="Z1441" s="549"/>
    </row>
    <row r="1442" spans="26:26" ht="17.100000000000001" customHeight="1" x14ac:dyDescent="0.3">
      <c r="Z1442" s="549"/>
    </row>
    <row r="1443" spans="26:26" ht="17.100000000000001" customHeight="1" x14ac:dyDescent="0.3">
      <c r="Z1443" s="549"/>
    </row>
    <row r="1444" spans="26:26" ht="17.100000000000001" customHeight="1" x14ac:dyDescent="0.3">
      <c r="Z1444" s="549"/>
    </row>
    <row r="1445" spans="26:26" ht="17.100000000000001" customHeight="1" x14ac:dyDescent="0.3">
      <c r="Z1445" s="549"/>
    </row>
    <row r="1446" spans="26:26" ht="17.100000000000001" customHeight="1" x14ac:dyDescent="0.3">
      <c r="Z1446" s="549"/>
    </row>
    <row r="1447" spans="26:26" ht="17.100000000000001" customHeight="1" x14ac:dyDescent="0.3">
      <c r="Z1447" s="549"/>
    </row>
    <row r="1448" spans="26:26" ht="17.100000000000001" customHeight="1" x14ac:dyDescent="0.3">
      <c r="Z1448" s="549"/>
    </row>
    <row r="1449" spans="26:26" ht="17.100000000000001" customHeight="1" x14ac:dyDescent="0.3">
      <c r="Z1449" s="549"/>
    </row>
    <row r="1450" spans="26:26" ht="17.100000000000001" customHeight="1" x14ac:dyDescent="0.3">
      <c r="Z1450" s="549"/>
    </row>
    <row r="1451" spans="26:26" ht="17.100000000000001" customHeight="1" x14ac:dyDescent="0.3">
      <c r="Z1451" s="549"/>
    </row>
    <row r="1452" spans="26:26" ht="17.100000000000001" customHeight="1" x14ac:dyDescent="0.3">
      <c r="Z1452" s="549"/>
    </row>
    <row r="1453" spans="26:26" ht="17.100000000000001" customHeight="1" x14ac:dyDescent="0.3">
      <c r="Z1453" s="549"/>
    </row>
    <row r="1454" spans="26:26" ht="17.100000000000001" customHeight="1" x14ac:dyDescent="0.3">
      <c r="Z1454" s="549"/>
    </row>
    <row r="1455" spans="26:26" ht="17.100000000000001" customHeight="1" x14ac:dyDescent="0.3">
      <c r="Z1455" s="549"/>
    </row>
    <row r="1456" spans="26:26" ht="17.100000000000001" customHeight="1" x14ac:dyDescent="0.3">
      <c r="Z1456" s="549"/>
    </row>
    <row r="1457" spans="26:26" ht="17.100000000000001" customHeight="1" x14ac:dyDescent="0.3">
      <c r="Z1457" s="549"/>
    </row>
    <row r="1458" spans="26:26" ht="17.100000000000001" customHeight="1" x14ac:dyDescent="0.3">
      <c r="Z1458" s="549"/>
    </row>
    <row r="1459" spans="26:26" ht="17.100000000000001" customHeight="1" x14ac:dyDescent="0.3">
      <c r="Z1459" s="549"/>
    </row>
    <row r="1460" spans="26:26" ht="17.100000000000001" customHeight="1" x14ac:dyDescent="0.3">
      <c r="Z1460" s="549"/>
    </row>
    <row r="1461" spans="26:26" ht="17.100000000000001" customHeight="1" x14ac:dyDescent="0.3">
      <c r="Z1461" s="549"/>
    </row>
    <row r="1462" spans="26:26" ht="17.100000000000001" customHeight="1" x14ac:dyDescent="0.3">
      <c r="Z1462" s="549"/>
    </row>
    <row r="1463" spans="26:26" ht="17.100000000000001" customHeight="1" x14ac:dyDescent="0.3">
      <c r="Z1463" s="549"/>
    </row>
    <row r="1464" spans="26:26" ht="17.100000000000001" customHeight="1" x14ac:dyDescent="0.3">
      <c r="Z1464" s="549"/>
    </row>
    <row r="1465" spans="26:26" ht="17.100000000000001" customHeight="1" x14ac:dyDescent="0.3">
      <c r="Z1465" s="549"/>
    </row>
    <row r="1466" spans="26:26" ht="17.100000000000001" customHeight="1" x14ac:dyDescent="0.3">
      <c r="Z1466" s="549"/>
    </row>
    <row r="1467" spans="26:26" ht="17.100000000000001" customHeight="1" x14ac:dyDescent="0.3">
      <c r="Z1467" s="549"/>
    </row>
    <row r="1468" spans="26:26" ht="17.100000000000001" customHeight="1" x14ac:dyDescent="0.3">
      <c r="Z1468" s="549"/>
    </row>
    <row r="1469" spans="26:26" ht="17.100000000000001" customHeight="1" x14ac:dyDescent="0.3">
      <c r="Z1469" s="549"/>
    </row>
    <row r="1470" spans="26:26" ht="17.100000000000001" customHeight="1" x14ac:dyDescent="0.3">
      <c r="Z1470" s="549"/>
    </row>
    <row r="1471" spans="26:26" ht="17.100000000000001" customHeight="1" x14ac:dyDescent="0.3">
      <c r="Z1471" s="549"/>
    </row>
    <row r="1472" spans="26:26" ht="17.100000000000001" customHeight="1" x14ac:dyDescent="0.3">
      <c r="Z1472" s="549"/>
    </row>
    <row r="1473" spans="26:26" ht="17.100000000000001" customHeight="1" x14ac:dyDescent="0.3">
      <c r="Z1473" s="549"/>
    </row>
    <row r="1474" spans="26:26" ht="17.100000000000001" customHeight="1" x14ac:dyDescent="0.3">
      <c r="Z1474" s="549"/>
    </row>
    <row r="1475" spans="26:26" ht="17.100000000000001" customHeight="1" x14ac:dyDescent="0.3">
      <c r="Z1475" s="549"/>
    </row>
    <row r="1476" spans="26:26" ht="17.100000000000001" customHeight="1" x14ac:dyDescent="0.3">
      <c r="Z1476" s="549"/>
    </row>
    <row r="1477" spans="26:26" ht="17.100000000000001" customHeight="1" x14ac:dyDescent="0.3">
      <c r="Z1477" s="549"/>
    </row>
    <row r="1478" spans="26:26" ht="17.100000000000001" customHeight="1" x14ac:dyDescent="0.3">
      <c r="Z1478" s="549"/>
    </row>
    <row r="1479" spans="26:26" ht="17.100000000000001" customHeight="1" x14ac:dyDescent="0.3">
      <c r="Z1479" s="549"/>
    </row>
    <row r="1480" spans="26:26" ht="17.100000000000001" customHeight="1" x14ac:dyDescent="0.3">
      <c r="Z1480" s="549"/>
    </row>
    <row r="1481" spans="26:26" ht="17.100000000000001" customHeight="1" x14ac:dyDescent="0.3">
      <c r="Z1481" s="549"/>
    </row>
    <row r="1482" spans="26:26" ht="17.100000000000001" customHeight="1" x14ac:dyDescent="0.3">
      <c r="Z1482" s="549"/>
    </row>
    <row r="1483" spans="26:26" ht="17.100000000000001" customHeight="1" x14ac:dyDescent="0.3">
      <c r="Z1483" s="549"/>
    </row>
    <row r="1484" spans="26:26" ht="17.100000000000001" customHeight="1" x14ac:dyDescent="0.3">
      <c r="Z1484" s="549"/>
    </row>
    <row r="1485" spans="26:26" ht="17.100000000000001" customHeight="1" x14ac:dyDescent="0.3">
      <c r="Z1485" s="549"/>
    </row>
    <row r="1486" spans="26:26" ht="17.100000000000001" customHeight="1" x14ac:dyDescent="0.3">
      <c r="Z1486" s="549"/>
    </row>
    <row r="1487" spans="26:26" ht="17.100000000000001" customHeight="1" x14ac:dyDescent="0.3">
      <c r="Z1487" s="549"/>
    </row>
    <row r="1488" spans="26:26" ht="17.100000000000001" customHeight="1" x14ac:dyDescent="0.3">
      <c r="Z1488" s="549"/>
    </row>
    <row r="1489" spans="14:26" ht="17.100000000000001" customHeight="1" x14ac:dyDescent="0.3">
      <c r="Z1489" s="549"/>
    </row>
    <row r="1490" spans="14:26" ht="17.100000000000001" customHeight="1" x14ac:dyDescent="0.3">
      <c r="Z1490" s="549"/>
    </row>
    <row r="1491" spans="14:26" ht="17.100000000000001" customHeight="1" x14ac:dyDescent="0.3">
      <c r="Z1491" s="549"/>
    </row>
    <row r="1492" spans="14:26" ht="17.100000000000001" customHeight="1" x14ac:dyDescent="0.3">
      <c r="Z1492" s="549"/>
    </row>
    <row r="1493" spans="14:26" ht="17.100000000000001" customHeight="1" x14ac:dyDescent="0.3">
      <c r="Z1493" s="549"/>
    </row>
    <row r="1494" spans="14:26" ht="17.100000000000001" customHeight="1" x14ac:dyDescent="0.3">
      <c r="Z1494" s="549"/>
    </row>
    <row r="1495" spans="14:26" ht="17.100000000000001" customHeight="1" x14ac:dyDescent="0.3">
      <c r="N1495" s="49">
        <v>980000</v>
      </c>
      <c r="Z1495" s="549"/>
    </row>
    <row r="1496" spans="14:26" ht="17.100000000000001" customHeight="1" x14ac:dyDescent="0.3">
      <c r="Z1496" s="549"/>
    </row>
    <row r="1497" spans="14:26" ht="17.100000000000001" customHeight="1" x14ac:dyDescent="0.3">
      <c r="Z1497" s="549"/>
    </row>
    <row r="1498" spans="14:26" ht="17.100000000000001" customHeight="1" x14ac:dyDescent="0.3">
      <c r="Z1498" s="549"/>
    </row>
    <row r="1499" spans="14:26" ht="17.100000000000001" customHeight="1" x14ac:dyDescent="0.3">
      <c r="Z1499" s="549"/>
    </row>
    <row r="1500" spans="14:26" ht="17.100000000000001" customHeight="1" x14ac:dyDescent="0.3">
      <c r="Z1500" s="549"/>
    </row>
    <row r="1501" spans="14:26" ht="17.100000000000001" customHeight="1" x14ac:dyDescent="0.3">
      <c r="Z1501" s="549"/>
    </row>
    <row r="1502" spans="14:26" ht="17.100000000000001" customHeight="1" x14ac:dyDescent="0.3">
      <c r="Z1502" s="549"/>
    </row>
    <row r="1503" spans="14:26" ht="17.100000000000001" customHeight="1" x14ac:dyDescent="0.3">
      <c r="Z1503" s="549"/>
    </row>
    <row r="1504" spans="14:26" ht="17.100000000000001" customHeight="1" x14ac:dyDescent="0.3">
      <c r="Z1504" s="549"/>
    </row>
    <row r="1505" spans="26:26" ht="17.100000000000001" customHeight="1" x14ac:dyDescent="0.3">
      <c r="Z1505" s="549"/>
    </row>
    <row r="1506" spans="26:26" ht="17.100000000000001" customHeight="1" x14ac:dyDescent="0.3">
      <c r="Z1506" s="549"/>
    </row>
    <row r="1507" spans="26:26" ht="17.100000000000001" customHeight="1" x14ac:dyDescent="0.3">
      <c r="Z1507" s="549"/>
    </row>
    <row r="1508" spans="26:26" ht="17.100000000000001" customHeight="1" x14ac:dyDescent="0.3">
      <c r="Z1508" s="549"/>
    </row>
    <row r="1509" spans="26:26" ht="17.100000000000001" customHeight="1" x14ac:dyDescent="0.3">
      <c r="Z1509" s="549"/>
    </row>
    <row r="1510" spans="26:26" ht="17.100000000000001" customHeight="1" x14ac:dyDescent="0.3">
      <c r="Z1510" s="549"/>
    </row>
    <row r="1511" spans="26:26" ht="17.100000000000001" customHeight="1" x14ac:dyDescent="0.3">
      <c r="Z1511" s="549"/>
    </row>
    <row r="1512" spans="26:26" ht="17.100000000000001" customHeight="1" x14ac:dyDescent="0.3">
      <c r="Z1512" s="549"/>
    </row>
    <row r="1513" spans="26:26" ht="17.100000000000001" customHeight="1" x14ac:dyDescent="0.3">
      <c r="Z1513" s="549"/>
    </row>
    <row r="1514" spans="26:26" ht="17.100000000000001" customHeight="1" x14ac:dyDescent="0.3">
      <c r="Z1514" s="549"/>
    </row>
    <row r="1515" spans="26:26" ht="17.100000000000001" customHeight="1" x14ac:dyDescent="0.3">
      <c r="Z1515" s="549"/>
    </row>
    <row r="1516" spans="26:26" ht="17.100000000000001" customHeight="1" x14ac:dyDescent="0.3">
      <c r="Z1516" s="549"/>
    </row>
    <row r="1517" spans="26:26" ht="17.100000000000001" customHeight="1" x14ac:dyDescent="0.3">
      <c r="Z1517" s="549"/>
    </row>
    <row r="1518" spans="26:26" ht="17.100000000000001" customHeight="1" x14ac:dyDescent="0.3">
      <c r="Z1518" s="549"/>
    </row>
    <row r="1519" spans="26:26" ht="17.100000000000001" customHeight="1" x14ac:dyDescent="0.3">
      <c r="Z1519" s="549"/>
    </row>
    <row r="1520" spans="26:26" ht="17.100000000000001" customHeight="1" x14ac:dyDescent="0.3">
      <c r="Z1520" s="549"/>
    </row>
    <row r="1521" spans="26:26" ht="17.100000000000001" customHeight="1" x14ac:dyDescent="0.3">
      <c r="Z1521" s="549"/>
    </row>
    <row r="1522" spans="26:26" ht="17.100000000000001" customHeight="1" x14ac:dyDescent="0.3">
      <c r="Z1522" s="549"/>
    </row>
    <row r="1523" spans="26:26" ht="17.100000000000001" customHeight="1" x14ac:dyDescent="0.3">
      <c r="Z1523" s="549"/>
    </row>
    <row r="1524" spans="26:26" ht="17.100000000000001" customHeight="1" x14ac:dyDescent="0.3">
      <c r="Z1524" s="549"/>
    </row>
    <row r="1525" spans="26:26" ht="17.100000000000001" customHeight="1" x14ac:dyDescent="0.3">
      <c r="Z1525" s="549"/>
    </row>
    <row r="1526" spans="26:26" ht="17.100000000000001" customHeight="1" x14ac:dyDescent="0.3">
      <c r="Z1526" s="549"/>
    </row>
    <row r="1527" spans="26:26" ht="17.100000000000001" customHeight="1" x14ac:dyDescent="0.3">
      <c r="Z1527" s="549"/>
    </row>
    <row r="1528" spans="26:26" ht="17.100000000000001" customHeight="1" x14ac:dyDescent="0.3">
      <c r="Z1528" s="549"/>
    </row>
    <row r="1529" spans="26:26" ht="17.100000000000001" customHeight="1" x14ac:dyDescent="0.3">
      <c r="Z1529" s="549"/>
    </row>
    <row r="1530" spans="26:26" ht="17.100000000000001" customHeight="1" x14ac:dyDescent="0.3">
      <c r="Z1530" s="549"/>
    </row>
    <row r="1531" spans="26:26" ht="17.100000000000001" customHeight="1" x14ac:dyDescent="0.3">
      <c r="Z1531" s="549"/>
    </row>
    <row r="1532" spans="26:26" ht="17.100000000000001" customHeight="1" x14ac:dyDescent="0.3">
      <c r="Z1532" s="549"/>
    </row>
    <row r="1533" spans="26:26" ht="17.100000000000001" customHeight="1" x14ac:dyDescent="0.3">
      <c r="Z1533" s="549"/>
    </row>
    <row r="1534" spans="26:26" ht="17.100000000000001" customHeight="1" x14ac:dyDescent="0.3">
      <c r="Z1534" s="549"/>
    </row>
    <row r="1535" spans="26:26" ht="17.100000000000001" customHeight="1" x14ac:dyDescent="0.3">
      <c r="Z1535" s="549"/>
    </row>
    <row r="1536" spans="26:26" ht="17.100000000000001" customHeight="1" x14ac:dyDescent="0.3">
      <c r="Z1536" s="549"/>
    </row>
    <row r="1537" spans="10:26" ht="17.100000000000001" customHeight="1" x14ac:dyDescent="0.3">
      <c r="Z1537" s="549"/>
    </row>
    <row r="1538" spans="10:26" ht="17.100000000000001" customHeight="1" x14ac:dyDescent="0.3">
      <c r="Z1538" s="549"/>
    </row>
    <row r="1539" spans="10:26" ht="17.100000000000001" customHeight="1" x14ac:dyDescent="0.3">
      <c r="Z1539" s="549"/>
    </row>
    <row r="1540" spans="10:26" ht="17.100000000000001" customHeight="1" x14ac:dyDescent="0.3">
      <c r="Z1540" s="549"/>
    </row>
    <row r="1541" spans="10:26" ht="17.100000000000001" customHeight="1" x14ac:dyDescent="0.3">
      <c r="Z1541" s="549"/>
    </row>
    <row r="1542" spans="10:26" ht="17.100000000000001" customHeight="1" x14ac:dyDescent="0.3">
      <c r="Z1542" s="549"/>
    </row>
    <row r="1543" spans="10:26" ht="17.100000000000001" customHeight="1" x14ac:dyDescent="0.3">
      <c r="J1543" s="455" t="s">
        <v>666</v>
      </c>
      <c r="Z1543" s="549"/>
    </row>
    <row r="1544" spans="10:26" ht="17.100000000000001" customHeight="1" x14ac:dyDescent="0.3">
      <c r="Z1544" s="549"/>
    </row>
    <row r="1545" spans="10:26" ht="17.100000000000001" customHeight="1" x14ac:dyDescent="0.3">
      <c r="Z1545" s="549"/>
    </row>
    <row r="1546" spans="10:26" ht="17.100000000000001" customHeight="1" x14ac:dyDescent="0.3">
      <c r="Z1546" s="549"/>
    </row>
    <row r="1547" spans="10:26" ht="17.100000000000001" customHeight="1" x14ac:dyDescent="0.3">
      <c r="Z1547" s="549"/>
    </row>
    <row r="1548" spans="10:26" ht="17.100000000000001" customHeight="1" x14ac:dyDescent="0.3">
      <c r="Z1548" s="549"/>
    </row>
    <row r="1549" spans="10:26" ht="17.100000000000001" customHeight="1" x14ac:dyDescent="0.3">
      <c r="Z1549" s="549"/>
    </row>
    <row r="1550" spans="10:26" ht="17.100000000000001" customHeight="1" x14ac:dyDescent="0.3">
      <c r="Z1550" s="549"/>
    </row>
    <row r="1551" spans="10:26" ht="17.100000000000001" customHeight="1" x14ac:dyDescent="0.3">
      <c r="Z1551" s="549"/>
    </row>
    <row r="1552" spans="10:26" ht="17.100000000000001" customHeight="1" x14ac:dyDescent="0.3">
      <c r="Z1552" s="549"/>
    </row>
    <row r="1553" spans="7:26" ht="17.100000000000001" customHeight="1" x14ac:dyDescent="0.3">
      <c r="Z1553" s="549"/>
    </row>
    <row r="1554" spans="7:26" ht="17.100000000000001" customHeight="1" x14ac:dyDescent="0.3">
      <c r="Z1554" s="549"/>
    </row>
    <row r="1555" spans="7:26" ht="17.100000000000001" customHeight="1" x14ac:dyDescent="0.3">
      <c r="G1555" s="455"/>
      <c r="Z1555" s="549"/>
    </row>
    <row r="1556" spans="7:26" ht="17.100000000000001" customHeight="1" x14ac:dyDescent="0.3">
      <c r="Z1556" s="549"/>
    </row>
    <row r="1557" spans="7:26" ht="17.100000000000001" customHeight="1" x14ac:dyDescent="0.3">
      <c r="Z1557" s="549"/>
    </row>
    <row r="1558" spans="7:26" ht="17.100000000000001" customHeight="1" x14ac:dyDescent="0.3">
      <c r="Z1558" s="549"/>
    </row>
    <row r="1559" spans="7:26" ht="17.100000000000001" customHeight="1" x14ac:dyDescent="0.3">
      <c r="Z1559" s="549"/>
    </row>
    <row r="1560" spans="7:26" ht="17.100000000000001" customHeight="1" x14ac:dyDescent="0.3">
      <c r="Z1560" s="549"/>
    </row>
    <row r="1561" spans="7:26" ht="17.100000000000001" customHeight="1" x14ac:dyDescent="0.3">
      <c r="Z1561" s="549"/>
    </row>
    <row r="1562" spans="7:26" ht="17.100000000000001" customHeight="1" x14ac:dyDescent="0.3">
      <c r="Z1562" s="549"/>
    </row>
    <row r="1563" spans="7:26" ht="17.100000000000001" customHeight="1" x14ac:dyDescent="0.3">
      <c r="Z1563" s="549"/>
    </row>
    <row r="1564" spans="7:26" ht="17.100000000000001" customHeight="1" x14ac:dyDescent="0.3">
      <c r="Z1564" s="549"/>
    </row>
    <row r="1565" spans="7:26" ht="17.100000000000001" customHeight="1" x14ac:dyDescent="0.3">
      <c r="Z1565" s="549"/>
    </row>
    <row r="1566" spans="7:26" ht="17.100000000000001" customHeight="1" x14ac:dyDescent="0.3">
      <c r="Z1566" s="549"/>
    </row>
    <row r="1567" spans="7:26" ht="17.100000000000001" customHeight="1" x14ac:dyDescent="0.3">
      <c r="L1567" s="66">
        <v>1040000</v>
      </c>
      <c r="Z1567" s="549"/>
    </row>
    <row r="1568" spans="7:26" ht="17.100000000000001" customHeight="1" x14ac:dyDescent="0.3">
      <c r="Z1568" s="549"/>
    </row>
    <row r="1569" spans="9:26" ht="17.100000000000001" customHeight="1" x14ac:dyDescent="0.3">
      <c r="I1569" s="532" t="s">
        <v>690</v>
      </c>
      <c r="Z1569" s="549"/>
    </row>
    <row r="1570" spans="9:26" ht="17.100000000000001" customHeight="1" x14ac:dyDescent="0.3">
      <c r="Z1570" s="549"/>
    </row>
    <row r="1571" spans="9:26" ht="17.100000000000001" customHeight="1" x14ac:dyDescent="0.3">
      <c r="Z1571" s="549"/>
    </row>
    <row r="1572" spans="9:26" ht="17.100000000000001" customHeight="1" x14ac:dyDescent="0.3">
      <c r="Z1572" s="549"/>
    </row>
    <row r="1573" spans="9:26" ht="17.100000000000001" customHeight="1" x14ac:dyDescent="0.3">
      <c r="Z1573" s="549"/>
    </row>
    <row r="1574" spans="9:26" ht="17.100000000000001" customHeight="1" x14ac:dyDescent="0.3">
      <c r="Z1574" s="549"/>
    </row>
    <row r="1575" spans="9:26" ht="17.100000000000001" customHeight="1" x14ac:dyDescent="0.3">
      <c r="Z1575" s="549"/>
    </row>
    <row r="1576" spans="9:26" ht="17.100000000000001" customHeight="1" x14ac:dyDescent="0.3">
      <c r="Z1576" s="549"/>
    </row>
    <row r="1577" spans="9:26" ht="17.100000000000001" customHeight="1" x14ac:dyDescent="0.3">
      <c r="Z1577" s="549"/>
    </row>
    <row r="1578" spans="9:26" ht="17.100000000000001" customHeight="1" x14ac:dyDescent="0.3">
      <c r="Z1578" s="549"/>
    </row>
    <row r="1579" spans="9:26" ht="17.100000000000001" customHeight="1" x14ac:dyDescent="0.3">
      <c r="Z1579" s="549"/>
    </row>
    <row r="1580" spans="9:26" ht="17.100000000000001" customHeight="1" x14ac:dyDescent="0.3">
      <c r="Z1580" s="549"/>
    </row>
    <row r="1581" spans="9:26" ht="17.100000000000001" customHeight="1" x14ac:dyDescent="0.3">
      <c r="Z1581" s="549"/>
    </row>
    <row r="1582" spans="9:26" ht="17.100000000000001" customHeight="1" x14ac:dyDescent="0.3">
      <c r="Z1582" s="549"/>
    </row>
    <row r="1583" spans="9:26" ht="17.100000000000001" customHeight="1" x14ac:dyDescent="0.3">
      <c r="Z1583" s="549"/>
    </row>
    <row r="1584" spans="9:26" ht="17.100000000000001" customHeight="1" x14ac:dyDescent="0.3">
      <c r="Z1584" s="549"/>
    </row>
    <row r="1585" spans="8:26" ht="17.100000000000001" customHeight="1" x14ac:dyDescent="0.3">
      <c r="Z1585" s="549"/>
    </row>
    <row r="1586" spans="8:26" ht="17.100000000000001" customHeight="1" x14ac:dyDescent="0.3">
      <c r="Z1586" s="549"/>
    </row>
    <row r="1587" spans="8:26" ht="17.100000000000001" customHeight="1" x14ac:dyDescent="0.3">
      <c r="Z1587" s="549"/>
    </row>
    <row r="1588" spans="8:26" ht="17.100000000000001" customHeight="1" x14ac:dyDescent="0.3">
      <c r="Z1588" s="549"/>
    </row>
    <row r="1589" spans="8:26" ht="17.100000000000001" customHeight="1" x14ac:dyDescent="0.3">
      <c r="Z1589" s="549"/>
    </row>
    <row r="1590" spans="8:26" ht="17.100000000000001" customHeight="1" x14ac:dyDescent="0.3">
      <c r="Z1590" s="549"/>
    </row>
    <row r="1591" spans="8:26" ht="17.100000000000001" customHeight="1" x14ac:dyDescent="0.3">
      <c r="Z1591" s="549"/>
    </row>
    <row r="1592" spans="8:26" ht="17.100000000000001" customHeight="1" x14ac:dyDescent="0.3">
      <c r="Z1592" s="549"/>
    </row>
    <row r="1593" spans="8:26" ht="17.100000000000001" customHeight="1" x14ac:dyDescent="0.3">
      <c r="Z1593" s="549"/>
    </row>
    <row r="1594" spans="8:26" ht="17.100000000000001" customHeight="1" x14ac:dyDescent="0.3">
      <c r="Z1594" s="549"/>
    </row>
    <row r="1595" spans="8:26" ht="17.100000000000001" customHeight="1" x14ac:dyDescent="0.3">
      <c r="Z1595" s="549"/>
    </row>
    <row r="1596" spans="8:26" ht="17.100000000000001" customHeight="1" x14ac:dyDescent="0.3">
      <c r="Z1596" s="549"/>
    </row>
    <row r="1597" spans="8:26" ht="17.100000000000001" customHeight="1" x14ac:dyDescent="0.3">
      <c r="Z1597" s="549"/>
    </row>
    <row r="1598" spans="8:26" ht="17.100000000000001" customHeight="1" x14ac:dyDescent="0.3">
      <c r="Z1598" s="549"/>
    </row>
    <row r="1599" spans="8:26" ht="17.100000000000001" customHeight="1" x14ac:dyDescent="0.3">
      <c r="Z1599" s="549"/>
    </row>
    <row r="1600" spans="8:26" ht="17.100000000000001" customHeight="1" x14ac:dyDescent="0.3">
      <c r="H1600" s="254" t="s">
        <v>698</v>
      </c>
      <c r="Z1600" s="549"/>
    </row>
    <row r="1601" spans="26:26" ht="17.100000000000001" customHeight="1" x14ac:dyDescent="0.3">
      <c r="Z1601" s="549"/>
    </row>
    <row r="1602" spans="26:26" ht="17.100000000000001" customHeight="1" x14ac:dyDescent="0.3">
      <c r="Z1602" s="549"/>
    </row>
    <row r="1603" spans="26:26" ht="17.100000000000001" customHeight="1" x14ac:dyDescent="0.3">
      <c r="Z1603" s="549"/>
    </row>
    <row r="1604" spans="26:26" ht="17.100000000000001" customHeight="1" x14ac:dyDescent="0.3">
      <c r="Z1604" s="549"/>
    </row>
    <row r="1605" spans="26:26" ht="17.100000000000001" customHeight="1" x14ac:dyDescent="0.3">
      <c r="Z1605" s="549"/>
    </row>
    <row r="1606" spans="26:26" ht="17.100000000000001" customHeight="1" x14ac:dyDescent="0.3">
      <c r="Z1606" s="549"/>
    </row>
    <row r="1607" spans="26:26" ht="17.100000000000001" customHeight="1" x14ac:dyDescent="0.3">
      <c r="Z1607" s="549"/>
    </row>
    <row r="1608" spans="26:26" ht="17.100000000000001" customHeight="1" x14ac:dyDescent="0.3">
      <c r="Z1608" s="549"/>
    </row>
    <row r="1609" spans="26:26" ht="17.100000000000001" customHeight="1" x14ac:dyDescent="0.3">
      <c r="Z1609" s="549"/>
    </row>
    <row r="1610" spans="26:26" ht="17.100000000000001" customHeight="1" x14ac:dyDescent="0.3">
      <c r="Z1610" s="549"/>
    </row>
    <row r="1611" spans="26:26" ht="17.100000000000001" customHeight="1" x14ac:dyDescent="0.3">
      <c r="Z1611" s="549"/>
    </row>
    <row r="1612" spans="26:26" ht="17.100000000000001" customHeight="1" x14ac:dyDescent="0.3">
      <c r="Z1612" s="549"/>
    </row>
    <row r="1613" spans="26:26" ht="17.100000000000001" customHeight="1" x14ac:dyDescent="0.3">
      <c r="Z1613" s="549"/>
    </row>
    <row r="1614" spans="26:26" ht="17.100000000000001" customHeight="1" x14ac:dyDescent="0.3">
      <c r="Z1614" s="549"/>
    </row>
    <row r="1615" spans="26:26" ht="17.100000000000001" customHeight="1" x14ac:dyDescent="0.3">
      <c r="Z1615" s="549"/>
    </row>
    <row r="1616" spans="26:26" ht="17.100000000000001" customHeight="1" x14ac:dyDescent="0.3">
      <c r="Z1616" s="549"/>
    </row>
    <row r="1617" spans="14:26" ht="17.100000000000001" customHeight="1" x14ac:dyDescent="0.3">
      <c r="Z1617" s="549"/>
    </row>
    <row r="1618" spans="14:26" ht="17.100000000000001" customHeight="1" x14ac:dyDescent="0.3">
      <c r="Z1618" s="549"/>
    </row>
    <row r="1619" spans="14:26" ht="17.100000000000001" customHeight="1" x14ac:dyDescent="0.3">
      <c r="Z1619" s="549"/>
    </row>
    <row r="1620" spans="14:26" ht="17.100000000000001" customHeight="1" x14ac:dyDescent="0.3">
      <c r="Z1620" s="549"/>
    </row>
    <row r="1621" spans="14:26" ht="17.100000000000001" customHeight="1" x14ac:dyDescent="0.3">
      <c r="N1621" s="49">
        <v>1680</v>
      </c>
      <c r="Z1621" s="549"/>
    </row>
    <row r="1622" spans="14:26" ht="17.100000000000001" customHeight="1" x14ac:dyDescent="0.3">
      <c r="Z1622" s="549"/>
    </row>
    <row r="1623" spans="14:26" ht="17.100000000000001" customHeight="1" x14ac:dyDescent="0.3">
      <c r="Z1623" s="549"/>
    </row>
    <row r="1624" spans="14:26" ht="17.100000000000001" customHeight="1" x14ac:dyDescent="0.3">
      <c r="Z1624" s="549"/>
    </row>
    <row r="1625" spans="14:26" ht="17.100000000000001" customHeight="1" x14ac:dyDescent="0.3">
      <c r="Z1625" s="549"/>
    </row>
    <row r="1626" spans="14:26" ht="17.100000000000001" customHeight="1" x14ac:dyDescent="0.3">
      <c r="Z1626" s="549"/>
    </row>
    <row r="1627" spans="14:26" ht="17.100000000000001" customHeight="1" x14ac:dyDescent="0.3">
      <c r="Z1627" s="549"/>
    </row>
    <row r="1628" spans="14:26" ht="17.100000000000001" customHeight="1" x14ac:dyDescent="0.3">
      <c r="Z1628" s="549"/>
    </row>
    <row r="1629" spans="14:26" ht="17.100000000000001" customHeight="1" x14ac:dyDescent="0.3">
      <c r="Z1629" s="549"/>
    </row>
    <row r="1630" spans="14:26" ht="17.100000000000001" customHeight="1" x14ac:dyDescent="0.3">
      <c r="Z1630" s="549"/>
    </row>
    <row r="1631" spans="14:26" ht="17.100000000000001" customHeight="1" x14ac:dyDescent="0.3">
      <c r="Z1631" s="549"/>
    </row>
    <row r="1632" spans="14:26" ht="17.100000000000001" customHeight="1" x14ac:dyDescent="0.3">
      <c r="Z1632" s="549"/>
    </row>
    <row r="1633" spans="8:26" ht="17.100000000000001" customHeight="1" x14ac:dyDescent="0.3">
      <c r="Z1633" s="549"/>
    </row>
    <row r="1634" spans="8:26" ht="17.100000000000001" customHeight="1" x14ac:dyDescent="0.3">
      <c r="Z1634" s="549"/>
    </row>
    <row r="1635" spans="8:26" ht="17.100000000000001" customHeight="1" x14ac:dyDescent="0.3">
      <c r="Z1635" s="549"/>
    </row>
    <row r="1636" spans="8:26" ht="17.100000000000001" customHeight="1" x14ac:dyDescent="0.3">
      <c r="Z1636" s="549"/>
    </row>
    <row r="1637" spans="8:26" ht="17.100000000000001" customHeight="1" x14ac:dyDescent="0.3">
      <c r="H1637" s="254" t="s">
        <v>850</v>
      </c>
      <c r="Z1637" s="549"/>
    </row>
    <row r="1638" spans="8:26" ht="17.100000000000001" customHeight="1" x14ac:dyDescent="0.3">
      <c r="Z1638" s="549"/>
    </row>
    <row r="1639" spans="8:26" ht="17.100000000000001" customHeight="1" x14ac:dyDescent="0.3">
      <c r="Z1639" s="549"/>
    </row>
    <row r="1640" spans="8:26" ht="17.100000000000001" customHeight="1" x14ac:dyDescent="0.3">
      <c r="Z1640" s="549"/>
    </row>
    <row r="1641" spans="8:26" ht="17.100000000000001" customHeight="1" x14ac:dyDescent="0.3">
      <c r="Z1641" s="549"/>
    </row>
    <row r="1642" spans="8:26" ht="17.100000000000001" customHeight="1" x14ac:dyDescent="0.3">
      <c r="Z1642" s="549"/>
    </row>
    <row r="1643" spans="8:26" ht="17.100000000000001" customHeight="1" x14ac:dyDescent="0.3">
      <c r="Z1643" s="549"/>
    </row>
    <row r="1644" spans="8:26" ht="17.100000000000001" customHeight="1" x14ac:dyDescent="0.3">
      <c r="Z1644" s="549"/>
    </row>
    <row r="1645" spans="8:26" ht="17.100000000000001" customHeight="1" x14ac:dyDescent="0.3">
      <c r="Z1645" s="549"/>
    </row>
    <row r="1646" spans="8:26" ht="17.100000000000001" customHeight="1" x14ac:dyDescent="0.3">
      <c r="Z1646" s="549"/>
    </row>
    <row r="1647" spans="8:26" ht="17.100000000000001" customHeight="1" x14ac:dyDescent="0.3">
      <c r="Z1647" s="549"/>
    </row>
    <row r="1648" spans="8:26" ht="17.100000000000001" customHeight="1" x14ac:dyDescent="0.3">
      <c r="Z1648" s="549"/>
    </row>
    <row r="1649" spans="26:26" ht="17.100000000000001" customHeight="1" x14ac:dyDescent="0.3">
      <c r="Z1649" s="549"/>
    </row>
    <row r="1650" spans="26:26" ht="17.100000000000001" customHeight="1" x14ac:dyDescent="0.3">
      <c r="Z1650" s="549"/>
    </row>
    <row r="1651" spans="26:26" ht="17.100000000000001" customHeight="1" x14ac:dyDescent="0.3">
      <c r="Z1651" s="549"/>
    </row>
    <row r="1652" spans="26:26" ht="17.100000000000001" customHeight="1" x14ac:dyDescent="0.3">
      <c r="Z1652" s="549"/>
    </row>
    <row r="1653" spans="26:26" ht="17.100000000000001" customHeight="1" x14ac:dyDescent="0.3">
      <c r="Z1653" s="549"/>
    </row>
    <row r="1654" spans="26:26" ht="17.100000000000001" customHeight="1" x14ac:dyDescent="0.3">
      <c r="Z1654" s="549"/>
    </row>
    <row r="1655" spans="26:26" ht="17.100000000000001" customHeight="1" x14ac:dyDescent="0.3">
      <c r="Z1655" s="549"/>
    </row>
    <row r="1656" spans="26:26" ht="17.100000000000001" customHeight="1" x14ac:dyDescent="0.3">
      <c r="Z1656" s="549"/>
    </row>
    <row r="1657" spans="26:26" ht="17.100000000000001" customHeight="1" x14ac:dyDescent="0.3">
      <c r="Z1657" s="549"/>
    </row>
    <row r="1658" spans="26:26" ht="17.100000000000001" customHeight="1" x14ac:dyDescent="0.3">
      <c r="Z1658" s="549"/>
    </row>
    <row r="1659" spans="26:26" ht="17.100000000000001" customHeight="1" x14ac:dyDescent="0.3">
      <c r="Z1659" s="549"/>
    </row>
    <row r="1660" spans="26:26" ht="17.100000000000001" customHeight="1" x14ac:dyDescent="0.3">
      <c r="Z1660" s="549"/>
    </row>
    <row r="1661" spans="26:26" ht="17.100000000000001" customHeight="1" x14ac:dyDescent="0.3">
      <c r="Z1661" s="549"/>
    </row>
    <row r="1662" spans="26:26" ht="17.100000000000001" customHeight="1" x14ac:dyDescent="0.3">
      <c r="Z1662" s="549"/>
    </row>
    <row r="1663" spans="26:26" ht="17.100000000000001" customHeight="1" x14ac:dyDescent="0.3">
      <c r="Z1663" s="549"/>
    </row>
    <row r="1664" spans="26:26" ht="17.100000000000001" customHeight="1" x14ac:dyDescent="0.3">
      <c r="Z1664" s="549"/>
    </row>
    <row r="1665" spans="26:26" ht="17.100000000000001" customHeight="1" x14ac:dyDescent="0.3">
      <c r="Z1665" s="549"/>
    </row>
    <row r="1666" spans="26:26" ht="17.100000000000001" customHeight="1" x14ac:dyDescent="0.3">
      <c r="Z1666" s="549"/>
    </row>
    <row r="1667" spans="26:26" ht="17.100000000000001" customHeight="1" x14ac:dyDescent="0.3">
      <c r="Z1667" s="549"/>
    </row>
    <row r="1668" spans="26:26" ht="17.100000000000001" customHeight="1" x14ac:dyDescent="0.3">
      <c r="Z1668" s="549"/>
    </row>
    <row r="1669" spans="26:26" ht="17.100000000000001" customHeight="1" x14ac:dyDescent="0.3">
      <c r="Z1669" s="549"/>
    </row>
    <row r="1670" spans="26:26" ht="17.100000000000001" customHeight="1" x14ac:dyDescent="0.3">
      <c r="Z1670" s="549"/>
    </row>
    <row r="1671" spans="26:26" ht="17.100000000000001" customHeight="1" x14ac:dyDescent="0.3">
      <c r="Z1671" s="549"/>
    </row>
    <row r="1672" spans="26:26" ht="17.100000000000001" customHeight="1" x14ac:dyDescent="0.3">
      <c r="Z1672" s="549"/>
    </row>
    <row r="1673" spans="26:26" ht="17.100000000000001" customHeight="1" x14ac:dyDescent="0.3">
      <c r="Z1673" s="549"/>
    </row>
    <row r="1674" spans="26:26" ht="17.100000000000001" customHeight="1" x14ac:dyDescent="0.3">
      <c r="Z1674" s="549"/>
    </row>
    <row r="1675" spans="26:26" ht="17.100000000000001" customHeight="1" x14ac:dyDescent="0.3">
      <c r="Z1675" s="549"/>
    </row>
    <row r="1676" spans="26:26" ht="17.100000000000001" customHeight="1" x14ac:dyDescent="0.3">
      <c r="Z1676" s="549"/>
    </row>
    <row r="1677" spans="26:26" ht="17.100000000000001" customHeight="1" x14ac:dyDescent="0.3">
      <c r="Z1677" s="549"/>
    </row>
    <row r="1678" spans="26:26" ht="17.100000000000001" customHeight="1" x14ac:dyDescent="0.3">
      <c r="Z1678" s="549"/>
    </row>
    <row r="1679" spans="26:26" ht="17.100000000000001" customHeight="1" x14ac:dyDescent="0.3">
      <c r="Z1679" s="549"/>
    </row>
    <row r="1680" spans="26:26" ht="17.100000000000001" customHeight="1" x14ac:dyDescent="0.3">
      <c r="Z1680" s="549"/>
    </row>
    <row r="1681" spans="26:26" ht="17.100000000000001" customHeight="1" x14ac:dyDescent="0.3">
      <c r="Z1681" s="549"/>
    </row>
    <row r="1682" spans="26:26" ht="17.100000000000001" customHeight="1" x14ac:dyDescent="0.3">
      <c r="Z1682" s="549"/>
    </row>
    <row r="1683" spans="26:26" ht="17.100000000000001" customHeight="1" x14ac:dyDescent="0.3">
      <c r="Z1683" s="549"/>
    </row>
    <row r="1684" spans="26:26" ht="17.100000000000001" customHeight="1" x14ac:dyDescent="0.3">
      <c r="Z1684" s="549"/>
    </row>
    <row r="1685" spans="26:26" ht="17.100000000000001" customHeight="1" x14ac:dyDescent="0.3">
      <c r="Z1685" s="549"/>
    </row>
    <row r="1686" spans="26:26" ht="17.100000000000001" customHeight="1" x14ac:dyDescent="0.3">
      <c r="Z1686" s="549"/>
    </row>
    <row r="1687" spans="26:26" ht="17.100000000000001" customHeight="1" x14ac:dyDescent="0.3">
      <c r="Z1687" s="549"/>
    </row>
    <row r="1688" spans="26:26" ht="17.100000000000001" customHeight="1" x14ac:dyDescent="0.3">
      <c r="Z1688" s="549"/>
    </row>
    <row r="1689" spans="26:26" ht="17.100000000000001" customHeight="1" x14ac:dyDescent="0.3">
      <c r="Z1689" s="549"/>
    </row>
    <row r="1690" spans="26:26" ht="17.100000000000001" customHeight="1" x14ac:dyDescent="0.3">
      <c r="Z1690" s="549"/>
    </row>
    <row r="1691" spans="26:26" ht="17.100000000000001" customHeight="1" x14ac:dyDescent="0.3">
      <c r="Z1691" s="549"/>
    </row>
    <row r="1692" spans="26:26" ht="17.100000000000001" customHeight="1" x14ac:dyDescent="0.3">
      <c r="Z1692" s="549"/>
    </row>
    <row r="1693" spans="26:26" ht="17.100000000000001" customHeight="1" x14ac:dyDescent="0.3">
      <c r="Z1693" s="549"/>
    </row>
    <row r="1694" spans="26:26" ht="17.100000000000001" customHeight="1" x14ac:dyDescent="0.3">
      <c r="Z1694" s="549"/>
    </row>
    <row r="1695" spans="26:26" ht="17.100000000000001" customHeight="1" x14ac:dyDescent="0.3">
      <c r="Z1695" s="549"/>
    </row>
    <row r="1696" spans="26:26" ht="17.100000000000001" customHeight="1" x14ac:dyDescent="0.3">
      <c r="Z1696" s="549"/>
    </row>
    <row r="1697" spans="6:26" ht="17.100000000000001" customHeight="1" x14ac:dyDescent="0.3">
      <c r="F1697" s="420" t="s">
        <v>700</v>
      </c>
      <c r="Z1697" s="549"/>
    </row>
    <row r="1698" spans="6:26" ht="17.100000000000001" customHeight="1" x14ac:dyDescent="0.3">
      <c r="Z1698" s="549"/>
    </row>
    <row r="1699" spans="6:26" ht="17.100000000000001" customHeight="1" x14ac:dyDescent="0.3">
      <c r="Z1699" s="549"/>
    </row>
    <row r="1700" spans="6:26" ht="17.100000000000001" customHeight="1" x14ac:dyDescent="0.3">
      <c r="Z1700" s="549"/>
    </row>
    <row r="1701" spans="6:26" ht="17.100000000000001" customHeight="1" x14ac:dyDescent="0.3">
      <c r="Z1701" s="549"/>
    </row>
    <row r="1702" spans="6:26" ht="17.100000000000001" customHeight="1" x14ac:dyDescent="0.3">
      <c r="Z1702" s="549"/>
    </row>
    <row r="1703" spans="6:26" ht="17.100000000000001" customHeight="1" x14ac:dyDescent="0.3">
      <c r="Z1703" s="549"/>
    </row>
    <row r="1704" spans="6:26" ht="17.100000000000001" customHeight="1" x14ac:dyDescent="0.3">
      <c r="Z1704" s="549"/>
    </row>
    <row r="1705" spans="6:26" ht="17.100000000000001" customHeight="1" x14ac:dyDescent="0.3">
      <c r="Z1705" s="549"/>
    </row>
    <row r="1706" spans="6:26" ht="17.100000000000001" customHeight="1" x14ac:dyDescent="0.3">
      <c r="Z1706" s="549"/>
    </row>
    <row r="1707" spans="6:26" ht="17.100000000000001" customHeight="1" x14ac:dyDescent="0.3">
      <c r="Z1707" s="549"/>
    </row>
    <row r="1708" spans="6:26" ht="17.100000000000001" customHeight="1" x14ac:dyDescent="0.3">
      <c r="Z1708" s="549"/>
    </row>
    <row r="1709" spans="6:26" ht="17.100000000000001" customHeight="1" x14ac:dyDescent="0.3">
      <c r="Z1709" s="549"/>
    </row>
    <row r="1710" spans="6:26" ht="17.100000000000001" customHeight="1" x14ac:dyDescent="0.3">
      <c r="Z1710" s="549"/>
    </row>
    <row r="1711" spans="6:26" ht="17.100000000000001" customHeight="1" x14ac:dyDescent="0.3">
      <c r="Z1711" s="549"/>
    </row>
    <row r="1712" spans="6:26" ht="17.100000000000001" customHeight="1" x14ac:dyDescent="0.3">
      <c r="Z1712" s="549"/>
    </row>
    <row r="1713" spans="26:26" ht="17.100000000000001" customHeight="1" x14ac:dyDescent="0.3">
      <c r="Z1713" s="549"/>
    </row>
    <row r="1714" spans="26:26" ht="17.100000000000001" customHeight="1" x14ac:dyDescent="0.3">
      <c r="Z1714" s="549"/>
    </row>
    <row r="1715" spans="26:26" ht="17.100000000000001" customHeight="1" x14ac:dyDescent="0.3">
      <c r="Z1715" s="549"/>
    </row>
    <row r="1716" spans="26:26" ht="17.100000000000001" customHeight="1" x14ac:dyDescent="0.3">
      <c r="Z1716" s="549"/>
    </row>
    <row r="1717" spans="26:26" ht="17.100000000000001" customHeight="1" x14ac:dyDescent="0.3">
      <c r="Z1717" s="549"/>
    </row>
    <row r="1718" spans="26:26" ht="17.100000000000001" customHeight="1" x14ac:dyDescent="0.3">
      <c r="Z1718" s="549"/>
    </row>
    <row r="1719" spans="26:26" ht="17.100000000000001" customHeight="1" x14ac:dyDescent="0.3">
      <c r="Z1719" s="549"/>
    </row>
    <row r="1720" spans="26:26" ht="17.100000000000001" customHeight="1" x14ac:dyDescent="0.3">
      <c r="Z1720" s="549"/>
    </row>
    <row r="1721" spans="26:26" ht="17.100000000000001" customHeight="1" x14ac:dyDescent="0.3">
      <c r="Z1721" s="549"/>
    </row>
    <row r="1774" spans="8:8" ht="17.100000000000001" customHeight="1" x14ac:dyDescent="0.3">
      <c r="H1774" s="254"/>
    </row>
    <row r="1832" spans="24:24" ht="17.100000000000001" customHeight="1" x14ac:dyDescent="0.3">
      <c r="X1832" s="47">
        <v>46142</v>
      </c>
    </row>
    <row r="1835" spans="24:24" ht="17.100000000000001" customHeight="1" x14ac:dyDescent="0.3">
      <c r="X1835" s="49">
        <v>22</v>
      </c>
    </row>
  </sheetData>
  <autoFilter ref="A3:AS407">
    <filterColumn colId="15" showButton="0"/>
    <filterColumn colId="21" showButton="0"/>
  </autoFilter>
  <mergeCells count="2189">
    <mergeCell ref="B407:B409"/>
    <mergeCell ref="A407:A409"/>
    <mergeCell ref="M407:M409"/>
    <mergeCell ref="AC407:AC409"/>
    <mergeCell ref="AB407:AB409"/>
    <mergeCell ref="AA407:AA409"/>
    <mergeCell ref="AD145:AD147"/>
    <mergeCell ref="AD317:AD318"/>
    <mergeCell ref="B404:B406"/>
    <mergeCell ref="C404:C406"/>
    <mergeCell ref="S25:S28"/>
    <mergeCell ref="S87:S94"/>
    <mergeCell ref="R87:R94"/>
    <mergeCell ref="X87:X94"/>
    <mergeCell ref="B112:B113"/>
    <mergeCell ref="V283:V285"/>
    <mergeCell ref="U260:U263"/>
    <mergeCell ref="S260:S263"/>
    <mergeCell ref="U270:U271"/>
    <mergeCell ref="V270:V271"/>
    <mergeCell ref="T260:T263"/>
    <mergeCell ref="T270:T271"/>
    <mergeCell ref="V272:V273"/>
    <mergeCell ref="W272:W273"/>
    <mergeCell ref="P29:P30"/>
    <mergeCell ref="O29:O30"/>
    <mergeCell ref="N29:N30"/>
    <mergeCell ref="R62:R73"/>
    <mergeCell ref="S62:S73"/>
    <mergeCell ref="X82:X86"/>
    <mergeCell ref="X112:X113"/>
    <mergeCell ref="W112:W113"/>
    <mergeCell ref="A404:A406"/>
    <mergeCell ref="D404:D406"/>
    <mergeCell ref="M404:M406"/>
    <mergeCell ref="R260:R263"/>
    <mergeCell ref="S272:S273"/>
    <mergeCell ref="T368:T369"/>
    <mergeCell ref="N370:N371"/>
    <mergeCell ref="O370:O371"/>
    <mergeCell ref="P370:P371"/>
    <mergeCell ref="Q370:Q371"/>
    <mergeCell ref="R370:R371"/>
    <mergeCell ref="R302:R303"/>
    <mergeCell ref="R304:R305"/>
    <mergeCell ref="T343:T345"/>
    <mergeCell ref="T349:T352"/>
    <mergeCell ref="T346:T348"/>
    <mergeCell ref="A346:A348"/>
    <mergeCell ref="A359:A364"/>
    <mergeCell ref="B349:B352"/>
    <mergeCell ref="B359:B364"/>
    <mergeCell ref="Q346:Q348"/>
    <mergeCell ref="R283:R288"/>
    <mergeCell ref="O378:O383"/>
    <mergeCell ref="J387:J389"/>
    <mergeCell ref="S359:S364"/>
    <mergeCell ref="O365:O366"/>
    <mergeCell ref="A112:A113"/>
    <mergeCell ref="B384:B386"/>
    <mergeCell ref="A368:A371"/>
    <mergeCell ref="P325:P327"/>
    <mergeCell ref="T328:T329"/>
    <mergeCell ref="R300:R301"/>
    <mergeCell ref="R298:R299"/>
    <mergeCell ref="N330:N333"/>
    <mergeCell ref="J368:J371"/>
    <mergeCell ref="B370:B371"/>
    <mergeCell ref="C370:C371"/>
    <mergeCell ref="D370:D371"/>
    <mergeCell ref="O340:O345"/>
    <mergeCell ref="D340:D342"/>
    <mergeCell ref="D336:D339"/>
    <mergeCell ref="J330:J335"/>
    <mergeCell ref="P334:P335"/>
    <mergeCell ref="O351:O352"/>
    <mergeCell ref="O349:O350"/>
    <mergeCell ref="C378:C383"/>
    <mergeCell ref="Q378:Q383"/>
    <mergeCell ref="D372:D374"/>
    <mergeCell ref="D375:D377"/>
    <mergeCell ref="J372:J377"/>
    <mergeCell ref="P372:P377"/>
    <mergeCell ref="P336:P339"/>
    <mergeCell ref="M340:M345"/>
    <mergeCell ref="N225:N227"/>
    <mergeCell ref="O225:O227"/>
    <mergeCell ref="P225:P227"/>
    <mergeCell ref="Q225:Q227"/>
    <mergeCell ref="N378:N383"/>
    <mergeCell ref="V278:V282"/>
    <mergeCell ref="R311:R314"/>
    <mergeCell ref="S370:S371"/>
    <mergeCell ref="J336:J339"/>
    <mergeCell ref="R223:R232"/>
    <mergeCell ref="V368:V369"/>
    <mergeCell ref="M368:M369"/>
    <mergeCell ref="C368:C369"/>
    <mergeCell ref="S319:S320"/>
    <mergeCell ref="S315:S316"/>
    <mergeCell ref="A336:A339"/>
    <mergeCell ref="B336:B339"/>
    <mergeCell ref="R336:R339"/>
    <mergeCell ref="O336:O339"/>
    <mergeCell ref="Q351:Q352"/>
    <mergeCell ref="N328:N329"/>
    <mergeCell ref="N340:N345"/>
    <mergeCell ref="B346:B348"/>
    <mergeCell ref="Q330:Q333"/>
    <mergeCell ref="P321:P324"/>
    <mergeCell ref="M321:M324"/>
    <mergeCell ref="O321:O324"/>
    <mergeCell ref="M336:M339"/>
    <mergeCell ref="P330:P333"/>
    <mergeCell ref="O334:O335"/>
    <mergeCell ref="N334:N335"/>
    <mergeCell ref="N336:N339"/>
    <mergeCell ref="M330:M335"/>
    <mergeCell ref="O346:O348"/>
    <mergeCell ref="B330:B335"/>
    <mergeCell ref="D343:D345"/>
    <mergeCell ref="M346:M348"/>
    <mergeCell ref="Y384:Y386"/>
    <mergeCell ref="W384:W386"/>
    <mergeCell ref="J384:J386"/>
    <mergeCell ref="M384:M386"/>
    <mergeCell ref="S384:S386"/>
    <mergeCell ref="R384:R386"/>
    <mergeCell ref="T370:T371"/>
    <mergeCell ref="U370:U371"/>
    <mergeCell ref="V370:V371"/>
    <mergeCell ref="W370:W371"/>
    <mergeCell ref="X370:X371"/>
    <mergeCell ref="Y368:Y369"/>
    <mergeCell ref="X368:X369"/>
    <mergeCell ref="B368:B369"/>
    <mergeCell ref="S193:S194"/>
    <mergeCell ref="T213:T220"/>
    <mergeCell ref="R233:R256"/>
    <mergeCell ref="W372:W377"/>
    <mergeCell ref="V372:V377"/>
    <mergeCell ref="U372:U377"/>
    <mergeCell ref="T372:T377"/>
    <mergeCell ref="R274:R277"/>
    <mergeCell ref="R289:R294"/>
    <mergeCell ref="D349:D350"/>
    <mergeCell ref="J349:J352"/>
    <mergeCell ref="M349:M352"/>
    <mergeCell ref="D346:D348"/>
    <mergeCell ref="U384:U386"/>
    <mergeCell ref="R295:R297"/>
    <mergeCell ref="B340:B345"/>
    <mergeCell ref="R328:R329"/>
    <mergeCell ref="U321:U324"/>
    <mergeCell ref="W317:W318"/>
    <mergeCell ref="R346:R348"/>
    <mergeCell ref="U340:U342"/>
    <mergeCell ref="V328:V329"/>
    <mergeCell ref="W336:W339"/>
    <mergeCell ref="W328:W329"/>
    <mergeCell ref="T278:T282"/>
    <mergeCell ref="V292:V294"/>
    <mergeCell ref="T340:T342"/>
    <mergeCell ref="S317:S318"/>
    <mergeCell ref="X319:X320"/>
    <mergeCell ref="AB395:AB402"/>
    <mergeCell ref="T384:T386"/>
    <mergeCell ref="S328:S329"/>
    <mergeCell ref="X390:X394"/>
    <mergeCell ref="X384:X386"/>
    <mergeCell ref="U328:U329"/>
    <mergeCell ref="T315:T316"/>
    <mergeCell ref="Y311:Y314"/>
    <mergeCell ref="W304:W305"/>
    <mergeCell ref="X304:X305"/>
    <mergeCell ref="AB317:AB318"/>
    <mergeCell ref="W311:W314"/>
    <mergeCell ref="Y306:Y310"/>
    <mergeCell ref="U306:U310"/>
    <mergeCell ref="AA315:AA316"/>
    <mergeCell ref="Y315:Y316"/>
    <mergeCell ref="AB319:AB320"/>
    <mergeCell ref="AA306:AA310"/>
    <mergeCell ref="AA346:AA348"/>
    <mergeCell ref="X321:X324"/>
    <mergeCell ref="V336:V339"/>
    <mergeCell ref="AC395:AC402"/>
    <mergeCell ref="D399:D402"/>
    <mergeCell ref="A395:A402"/>
    <mergeCell ref="B395:B402"/>
    <mergeCell ref="C395:C402"/>
    <mergeCell ref="D395:D398"/>
    <mergeCell ref="M395:M402"/>
    <mergeCell ref="N395:N402"/>
    <mergeCell ref="O395:O402"/>
    <mergeCell ref="P395:P402"/>
    <mergeCell ref="Q395:Q402"/>
    <mergeCell ref="R395:R402"/>
    <mergeCell ref="S395:S402"/>
    <mergeCell ref="T395:T402"/>
    <mergeCell ref="U395:U402"/>
    <mergeCell ref="V395:V402"/>
    <mergeCell ref="W395:W402"/>
    <mergeCell ref="X395:X402"/>
    <mergeCell ref="Y395:Y402"/>
    <mergeCell ref="K395:K402"/>
    <mergeCell ref="L395:L402"/>
    <mergeCell ref="J395:J402"/>
    <mergeCell ref="Z395:Z402"/>
    <mergeCell ref="AA395:AA402"/>
    <mergeCell ref="W343:W345"/>
    <mergeCell ref="W319:W320"/>
    <mergeCell ref="V325:V327"/>
    <mergeCell ref="AA319:AA320"/>
    <mergeCell ref="AA311:AA314"/>
    <mergeCell ref="W321:W324"/>
    <mergeCell ref="Y336:Y339"/>
    <mergeCell ref="X328:X329"/>
    <mergeCell ref="Y325:Y327"/>
    <mergeCell ref="T330:T335"/>
    <mergeCell ref="U343:U345"/>
    <mergeCell ref="T321:T324"/>
    <mergeCell ref="S311:S314"/>
    <mergeCell ref="W340:W342"/>
    <mergeCell ref="V343:V345"/>
    <mergeCell ref="W330:W335"/>
    <mergeCell ref="V319:V320"/>
    <mergeCell ref="T319:T320"/>
    <mergeCell ref="U336:U339"/>
    <mergeCell ref="V330:V335"/>
    <mergeCell ref="V340:V342"/>
    <mergeCell ref="U325:U327"/>
    <mergeCell ref="S321:S324"/>
    <mergeCell ref="S340:S345"/>
    <mergeCell ref="Y317:Y318"/>
    <mergeCell ref="S325:S327"/>
    <mergeCell ref="U330:U335"/>
    <mergeCell ref="T336:T339"/>
    <mergeCell ref="X330:X335"/>
    <mergeCell ref="S330:S335"/>
    <mergeCell ref="S336:S339"/>
    <mergeCell ref="T325:T327"/>
    <mergeCell ref="R325:R327"/>
    <mergeCell ref="Q334:Q335"/>
    <mergeCell ref="N351:N352"/>
    <mergeCell ref="N349:N350"/>
    <mergeCell ref="D328:D329"/>
    <mergeCell ref="M370:M371"/>
    <mergeCell ref="P368:P369"/>
    <mergeCell ref="Q368:Q369"/>
    <mergeCell ref="R372:R377"/>
    <mergeCell ref="N372:N377"/>
    <mergeCell ref="O368:O369"/>
    <mergeCell ref="Q372:Q377"/>
    <mergeCell ref="P359:P364"/>
    <mergeCell ref="O359:O364"/>
    <mergeCell ref="N365:N366"/>
    <mergeCell ref="C359:C364"/>
    <mergeCell ref="Q349:Q350"/>
    <mergeCell ref="P349:P350"/>
    <mergeCell ref="O325:O327"/>
    <mergeCell ref="M325:M327"/>
    <mergeCell ref="Q325:Q327"/>
    <mergeCell ref="C325:C327"/>
    <mergeCell ref="Q359:Q364"/>
    <mergeCell ref="R359:R364"/>
    <mergeCell ref="P328:P329"/>
    <mergeCell ref="M359:M364"/>
    <mergeCell ref="N359:N364"/>
    <mergeCell ref="C330:C335"/>
    <mergeCell ref="D365:D366"/>
    <mergeCell ref="D368:D369"/>
    <mergeCell ref="D362:D364"/>
    <mergeCell ref="R349:R352"/>
    <mergeCell ref="S368:S369"/>
    <mergeCell ref="O330:O333"/>
    <mergeCell ref="R378:R383"/>
    <mergeCell ref="R368:R369"/>
    <mergeCell ref="P365:P366"/>
    <mergeCell ref="Q365:Q366"/>
    <mergeCell ref="N368:N369"/>
    <mergeCell ref="R365:R366"/>
    <mergeCell ref="A365:A366"/>
    <mergeCell ref="B365:B366"/>
    <mergeCell ref="J365:J366"/>
    <mergeCell ref="M365:M366"/>
    <mergeCell ref="R340:R345"/>
    <mergeCell ref="S349:S352"/>
    <mergeCell ref="P351:P352"/>
    <mergeCell ref="D359:D361"/>
    <mergeCell ref="A353:A358"/>
    <mergeCell ref="A349:A352"/>
    <mergeCell ref="S365:S366"/>
    <mergeCell ref="J346:J348"/>
    <mergeCell ref="P346:P348"/>
    <mergeCell ref="N346:N348"/>
    <mergeCell ref="P340:P345"/>
    <mergeCell ref="M353:M358"/>
    <mergeCell ref="J340:J345"/>
    <mergeCell ref="J353:J358"/>
    <mergeCell ref="S346:S348"/>
    <mergeCell ref="B356:B358"/>
    <mergeCell ref="J359:J364"/>
    <mergeCell ref="R330:R335"/>
    <mergeCell ref="M372:M383"/>
    <mergeCell ref="AB340:AB345"/>
    <mergeCell ref="Z336:Z339"/>
    <mergeCell ref="AC340:AC345"/>
    <mergeCell ref="AC325:AC327"/>
    <mergeCell ref="AB328:AB329"/>
    <mergeCell ref="AA328:AA329"/>
    <mergeCell ref="AA321:AA324"/>
    <mergeCell ref="AC336:AC339"/>
    <mergeCell ref="Z343:Z345"/>
    <mergeCell ref="AA330:AA335"/>
    <mergeCell ref="Z330:Z335"/>
    <mergeCell ref="Y340:Y345"/>
    <mergeCell ref="AA340:AA345"/>
    <mergeCell ref="M328:M329"/>
    <mergeCell ref="AC328:AC329"/>
    <mergeCell ref="AA336:AA339"/>
    <mergeCell ref="AC321:AC324"/>
    <mergeCell ref="Y328:Y329"/>
    <mergeCell ref="Y321:Y324"/>
    <mergeCell ref="X340:X345"/>
    <mergeCell ref="Z325:Z327"/>
    <mergeCell ref="AA325:AA327"/>
    <mergeCell ref="V321:V324"/>
    <mergeCell ref="X336:X339"/>
    <mergeCell ref="AB330:AB335"/>
    <mergeCell ref="Z340:Z342"/>
    <mergeCell ref="W325:W327"/>
    <mergeCell ref="Q336:Q339"/>
    <mergeCell ref="Z328:Z329"/>
    <mergeCell ref="AB325:AB327"/>
    <mergeCell ref="X325:X327"/>
    <mergeCell ref="AB321:AB324"/>
    <mergeCell ref="AC330:AC335"/>
    <mergeCell ref="Y330:Y335"/>
    <mergeCell ref="Z321:Z324"/>
    <mergeCell ref="AB336:AB339"/>
    <mergeCell ref="AC319:AC320"/>
    <mergeCell ref="AB311:AB314"/>
    <mergeCell ref="V311:V314"/>
    <mergeCell ref="D334:D335"/>
    <mergeCell ref="D330:D331"/>
    <mergeCell ref="P317:P318"/>
    <mergeCell ref="AB315:AB316"/>
    <mergeCell ref="AA317:AA318"/>
    <mergeCell ref="V317:V318"/>
    <mergeCell ref="J317:J318"/>
    <mergeCell ref="Z319:Z320"/>
    <mergeCell ref="Y319:Y320"/>
    <mergeCell ref="Z311:Z314"/>
    <mergeCell ref="X311:X314"/>
    <mergeCell ref="Z317:Z318"/>
    <mergeCell ref="U319:U320"/>
    <mergeCell ref="T311:T314"/>
    <mergeCell ref="T317:T318"/>
    <mergeCell ref="X317:X318"/>
    <mergeCell ref="R315:R316"/>
    <mergeCell ref="U317:U318"/>
    <mergeCell ref="X315:X316"/>
    <mergeCell ref="AC317:AC318"/>
    <mergeCell ref="R317:R318"/>
    <mergeCell ref="R321:R324"/>
    <mergeCell ref="R319:R320"/>
    <mergeCell ref="AC311:AC314"/>
    <mergeCell ref="U311:U314"/>
    <mergeCell ref="T300:T301"/>
    <mergeCell ref="O306:O307"/>
    <mergeCell ref="V315:V316"/>
    <mergeCell ref="S298:S299"/>
    <mergeCell ref="W315:W316"/>
    <mergeCell ref="V302:V303"/>
    <mergeCell ref="U300:U301"/>
    <mergeCell ref="W298:W299"/>
    <mergeCell ref="X300:X301"/>
    <mergeCell ref="X298:X299"/>
    <mergeCell ref="U302:U303"/>
    <mergeCell ref="V300:V301"/>
    <mergeCell ref="S300:S301"/>
    <mergeCell ref="V304:V305"/>
    <mergeCell ref="P315:P316"/>
    <mergeCell ref="P306:P307"/>
    <mergeCell ref="X306:X310"/>
    <mergeCell ref="V298:V299"/>
    <mergeCell ref="U298:U299"/>
    <mergeCell ref="U304:U305"/>
    <mergeCell ref="T298:T299"/>
    <mergeCell ref="Z298:Z301"/>
    <mergeCell ref="T306:T310"/>
    <mergeCell ref="W300:W301"/>
    <mergeCell ref="Z306:Z310"/>
    <mergeCell ref="V306:V310"/>
    <mergeCell ref="S302:S303"/>
    <mergeCell ref="U315:U316"/>
    <mergeCell ref="S306:S310"/>
    <mergeCell ref="R306:R310"/>
    <mergeCell ref="Z283:Z288"/>
    <mergeCell ref="Z289:Z294"/>
    <mergeCell ref="Y278:Y282"/>
    <mergeCell ref="AA295:AA297"/>
    <mergeCell ref="X274:X277"/>
    <mergeCell ref="X270:X271"/>
    <mergeCell ref="R270:R271"/>
    <mergeCell ref="Z270:Z273"/>
    <mergeCell ref="R278:R282"/>
    <mergeCell ref="W289:W291"/>
    <mergeCell ref="U283:U285"/>
    <mergeCell ref="T286:T288"/>
    <mergeCell ref="U286:U288"/>
    <mergeCell ref="T289:T291"/>
    <mergeCell ref="S289:S294"/>
    <mergeCell ref="V295:V297"/>
    <mergeCell ref="W292:W294"/>
    <mergeCell ref="U295:U297"/>
    <mergeCell ref="X289:X294"/>
    <mergeCell ref="T292:T294"/>
    <mergeCell ref="V286:V288"/>
    <mergeCell ref="S270:S271"/>
    <mergeCell ref="S278:S282"/>
    <mergeCell ref="R265:R268"/>
    <mergeCell ref="AC315:AC316"/>
    <mergeCell ref="AC283:AC294"/>
    <mergeCell ref="Z267:Z269"/>
    <mergeCell ref="Z264:Z266"/>
    <mergeCell ref="AA298:AA305"/>
    <mergeCell ref="X302:X303"/>
    <mergeCell ref="U278:U282"/>
    <mergeCell ref="V289:V291"/>
    <mergeCell ref="U292:U294"/>
    <mergeCell ref="T304:T305"/>
    <mergeCell ref="T302:T303"/>
    <mergeCell ref="T283:T285"/>
    <mergeCell ref="Y283:Y294"/>
    <mergeCell ref="X283:X285"/>
    <mergeCell ref="W302:W303"/>
    <mergeCell ref="Z302:Z305"/>
    <mergeCell ref="X295:X297"/>
    <mergeCell ref="X286:X288"/>
    <mergeCell ref="W283:W285"/>
    <mergeCell ref="T295:T297"/>
    <mergeCell ref="W295:W297"/>
    <mergeCell ref="W286:W288"/>
    <mergeCell ref="S274:S277"/>
    <mergeCell ref="X272:X273"/>
    <mergeCell ref="Y265:Y268"/>
    <mergeCell ref="V274:V277"/>
    <mergeCell ref="X278:X282"/>
    <mergeCell ref="S283:S288"/>
    <mergeCell ref="W306:W310"/>
    <mergeCell ref="S304:S305"/>
    <mergeCell ref="S295:S297"/>
    <mergeCell ref="AB283:AB294"/>
    <mergeCell ref="Y295:Y297"/>
    <mergeCell ref="Z280:Z282"/>
    <mergeCell ref="Z295:Z297"/>
    <mergeCell ref="Y298:Y305"/>
    <mergeCell ref="AB295:AB297"/>
    <mergeCell ref="U272:U273"/>
    <mergeCell ref="AA278:AA282"/>
    <mergeCell ref="AA283:AA294"/>
    <mergeCell ref="U181:U188"/>
    <mergeCell ref="AB260:AB263"/>
    <mergeCell ref="R213:R220"/>
    <mergeCell ref="T201:T202"/>
    <mergeCell ref="U221:U222"/>
    <mergeCell ref="X223:X232"/>
    <mergeCell ref="T209:T210"/>
    <mergeCell ref="U193:U194"/>
    <mergeCell ref="T189:T192"/>
    <mergeCell ref="U201:U202"/>
    <mergeCell ref="W211:W212"/>
    <mergeCell ref="U211:U212"/>
    <mergeCell ref="AB181:AB194"/>
    <mergeCell ref="X213:X220"/>
    <mergeCell ref="W233:W256"/>
    <mergeCell ref="W260:W263"/>
    <mergeCell ref="W195:W196"/>
    <mergeCell ref="V205:V208"/>
    <mergeCell ref="V211:V212"/>
    <mergeCell ref="V209:V210"/>
    <mergeCell ref="R221:R222"/>
    <mergeCell ref="U289:U291"/>
    <mergeCell ref="W278:W282"/>
    <mergeCell ref="S223:S232"/>
    <mergeCell ref="T233:T256"/>
    <mergeCell ref="T223:T232"/>
    <mergeCell ref="U223:U232"/>
    <mergeCell ref="AA195:AA204"/>
    <mergeCell ref="W274:W277"/>
    <mergeCell ref="Z205:Z208"/>
    <mergeCell ref="Z209:Z212"/>
    <mergeCell ref="AJ272:AJ273"/>
    <mergeCell ref="Y260:Y263"/>
    <mergeCell ref="AA264:AA269"/>
    <mergeCell ref="R209:R210"/>
    <mergeCell ref="Q193:Q194"/>
    <mergeCell ref="R211:R212"/>
    <mergeCell ref="Q211:Q212"/>
    <mergeCell ref="S233:S256"/>
    <mergeCell ref="S221:S222"/>
    <mergeCell ref="S213:S220"/>
    <mergeCell ref="S209:S210"/>
    <mergeCell ref="S211:S212"/>
    <mergeCell ref="T195:T196"/>
    <mergeCell ref="U203:U204"/>
    <mergeCell ref="U197:U200"/>
    <mergeCell ref="R272:R273"/>
    <mergeCell ref="U205:U208"/>
    <mergeCell ref="W205:W208"/>
    <mergeCell ref="W193:W194"/>
    <mergeCell ref="AA257:AA259"/>
    <mergeCell ref="Z274:Z277"/>
    <mergeCell ref="X265:X268"/>
    <mergeCell ref="T274:T277"/>
    <mergeCell ref="S265:S268"/>
    <mergeCell ref="AL260:AL263"/>
    <mergeCell ref="AJ223:AJ232"/>
    <mergeCell ref="AJ205:AJ212"/>
    <mergeCell ref="AK181:AK192"/>
    <mergeCell ref="AH177:AH180"/>
    <mergeCell ref="T272:T273"/>
    <mergeCell ref="U274:U277"/>
    <mergeCell ref="X221:X222"/>
    <mergeCell ref="W189:W192"/>
    <mergeCell ref="U233:U256"/>
    <mergeCell ref="Z228:Z232"/>
    <mergeCell ref="W223:W232"/>
    <mergeCell ref="V260:V263"/>
    <mergeCell ref="AK278:AK282"/>
    <mergeCell ref="W201:W202"/>
    <mergeCell ref="V201:V202"/>
    <mergeCell ref="V197:V200"/>
    <mergeCell ref="AA205:AA212"/>
    <mergeCell ref="Z201:Z204"/>
    <mergeCell ref="AI223:AI232"/>
    <mergeCell ref="AI233:AI256"/>
    <mergeCell ref="Z213:Z220"/>
    <mergeCell ref="AA213:AA220"/>
    <mergeCell ref="AB274:AB277"/>
    <mergeCell ref="V213:V220"/>
    <mergeCell ref="V233:V256"/>
    <mergeCell ref="W270:W271"/>
    <mergeCell ref="Z278:Z279"/>
    <mergeCell ref="AA223:AA232"/>
    <mergeCell ref="T221:T222"/>
    <mergeCell ref="AB270:AB273"/>
    <mergeCell ref="AA274:AA277"/>
    <mergeCell ref="T193:T194"/>
    <mergeCell ref="Y195:Y204"/>
    <mergeCell ref="X193:X194"/>
    <mergeCell ref="S195:S204"/>
    <mergeCell ref="W197:W200"/>
    <mergeCell ref="Y233:Y256"/>
    <mergeCell ref="AB223:AB232"/>
    <mergeCell ref="AC260:AC263"/>
    <mergeCell ref="AJ274:AJ277"/>
    <mergeCell ref="Y274:Y277"/>
    <mergeCell ref="AM221:AM222"/>
    <mergeCell ref="AJ260:AJ263"/>
    <mergeCell ref="AL195:AL204"/>
    <mergeCell ref="AH205:AH212"/>
    <mergeCell ref="AL177:AL180"/>
    <mergeCell ref="AI213:AI220"/>
    <mergeCell ref="AK260:AK263"/>
    <mergeCell ref="AC195:AC204"/>
    <mergeCell ref="AL205:AL212"/>
    <mergeCell ref="AK195:AK204"/>
    <mergeCell ref="AI195:AI204"/>
    <mergeCell ref="AK205:AK212"/>
    <mergeCell ref="AL213:AL220"/>
    <mergeCell ref="AL181:AL192"/>
    <mergeCell ref="AK213:AK220"/>
    <mergeCell ref="AJ213:AJ220"/>
    <mergeCell ref="AI221:AI222"/>
    <mergeCell ref="AI205:AI212"/>
    <mergeCell ref="AJ221:AJ222"/>
    <mergeCell ref="AJ181:AJ192"/>
    <mergeCell ref="AH223:AH232"/>
    <mergeCell ref="AL223:AL232"/>
    <mergeCell ref="AI181:AI192"/>
    <mergeCell ref="AH181:AH192"/>
    <mergeCell ref="AK177:AK180"/>
    <mergeCell ref="AL233:AL256"/>
    <mergeCell ref="AH233:AH256"/>
    <mergeCell ref="AH213:AH220"/>
    <mergeCell ref="AC181:AC194"/>
    <mergeCell ref="U173:U174"/>
    <mergeCell ref="S175:S176"/>
    <mergeCell ref="T197:T200"/>
    <mergeCell ref="S205:S208"/>
    <mergeCell ref="T211:T212"/>
    <mergeCell ref="S181:S192"/>
    <mergeCell ref="AH195:AH204"/>
    <mergeCell ref="Y177:Y180"/>
    <mergeCell ref="AI167:AI174"/>
    <mergeCell ref="Y181:Y194"/>
    <mergeCell ref="Y175:Y176"/>
    <mergeCell ref="T203:T204"/>
    <mergeCell ref="T205:T208"/>
    <mergeCell ref="T177:T180"/>
    <mergeCell ref="T175:T176"/>
    <mergeCell ref="T181:T188"/>
    <mergeCell ref="AA167:AA174"/>
    <mergeCell ref="Z167:Z174"/>
    <mergeCell ref="Y167:Y174"/>
    <mergeCell ref="AB195:AB204"/>
    <mergeCell ref="AA181:AA194"/>
    <mergeCell ref="Z179:Z180"/>
    <mergeCell ref="AH167:AH174"/>
    <mergeCell ref="U171:U172"/>
    <mergeCell ref="S177:S180"/>
    <mergeCell ref="U175:U176"/>
    <mergeCell ref="U213:U220"/>
    <mergeCell ref="AH257:AH259"/>
    <mergeCell ref="AC223:AC232"/>
    <mergeCell ref="AA233:AA256"/>
    <mergeCell ref="W209:W210"/>
    <mergeCell ref="W213:W220"/>
    <mergeCell ref="Y213:Y220"/>
    <mergeCell ref="AC257:AC259"/>
    <mergeCell ref="V223:V232"/>
    <mergeCell ref="Y223:Y232"/>
    <mergeCell ref="AC205:AC212"/>
    <mergeCell ref="V193:V194"/>
    <mergeCell ref="W203:W204"/>
    <mergeCell ref="U189:U192"/>
    <mergeCell ref="U209:U210"/>
    <mergeCell ref="U195:U196"/>
    <mergeCell ref="W221:W222"/>
    <mergeCell ref="V221:V222"/>
    <mergeCell ref="X233:X256"/>
    <mergeCell ref="U177:U180"/>
    <mergeCell ref="V181:V188"/>
    <mergeCell ref="V177:V180"/>
    <mergeCell ref="V189:V192"/>
    <mergeCell ref="W177:W180"/>
    <mergeCell ref="W181:W188"/>
    <mergeCell ref="X175:X176"/>
    <mergeCell ref="V175:V176"/>
    <mergeCell ref="V203:V204"/>
    <mergeCell ref="W175:W176"/>
    <mergeCell ref="V195:V196"/>
    <mergeCell ref="X181:X188"/>
    <mergeCell ref="AK175:AK176"/>
    <mergeCell ref="X205:X208"/>
    <mergeCell ref="X211:X212"/>
    <mergeCell ref="AB205:AB212"/>
    <mergeCell ref="X195:X204"/>
    <mergeCell ref="Y205:Y212"/>
    <mergeCell ref="X209:X210"/>
    <mergeCell ref="AA175:AA176"/>
    <mergeCell ref="Z175:Z176"/>
    <mergeCell ref="Z177:Z178"/>
    <mergeCell ref="AA177:AA180"/>
    <mergeCell ref="X260:X263"/>
    <mergeCell ref="AI175:AI176"/>
    <mergeCell ref="X189:X192"/>
    <mergeCell ref="Z189:Z194"/>
    <mergeCell ref="X141:X144"/>
    <mergeCell ref="AC213:AC220"/>
    <mergeCell ref="AB141:AB144"/>
    <mergeCell ref="AK145:AK152"/>
    <mergeCell ref="AH153:AH160"/>
    <mergeCell ref="AI141:AI144"/>
    <mergeCell ref="AC177:AC180"/>
    <mergeCell ref="Z195:Z200"/>
    <mergeCell ref="X177:X180"/>
    <mergeCell ref="AH141:AH144"/>
    <mergeCell ref="AC167:AC174"/>
    <mergeCell ref="AB177:AB180"/>
    <mergeCell ref="AC221:AC222"/>
    <mergeCell ref="AA221:AA222"/>
    <mergeCell ref="AI260:AI263"/>
    <mergeCell ref="AH260:AH263"/>
    <mergeCell ref="AJ257:AJ259"/>
    <mergeCell ref="AI278:AI282"/>
    <mergeCell ref="Z233:Z256"/>
    <mergeCell ref="AB257:AB259"/>
    <mergeCell ref="AB264:AB269"/>
    <mergeCell ref="Z260:Z263"/>
    <mergeCell ref="Z257:Z259"/>
    <mergeCell ref="AA260:AA263"/>
    <mergeCell ref="Z223:Z227"/>
    <mergeCell ref="AA270:AA273"/>
    <mergeCell ref="AB278:AB282"/>
    <mergeCell ref="AH270:AH271"/>
    <mergeCell ref="AB233:AB256"/>
    <mergeCell ref="AI257:AI259"/>
    <mergeCell ref="AC264:AC269"/>
    <mergeCell ref="AI264:AI269"/>
    <mergeCell ref="Y221:Y222"/>
    <mergeCell ref="AH264:AH269"/>
    <mergeCell ref="AI270:AI271"/>
    <mergeCell ref="Y270:Y273"/>
    <mergeCell ref="AC233:AC256"/>
    <mergeCell ref="Z221:Z222"/>
    <mergeCell ref="V137:V140"/>
    <mergeCell ref="U137:U140"/>
    <mergeCell ref="W145:W152"/>
    <mergeCell ref="U131:U132"/>
    <mergeCell ref="V131:V132"/>
    <mergeCell ref="V141:V144"/>
    <mergeCell ref="T131:T132"/>
    <mergeCell ref="V161:V166"/>
    <mergeCell ref="U145:U152"/>
    <mergeCell ref="T153:T160"/>
    <mergeCell ref="W169:W170"/>
    <mergeCell ref="U169:U170"/>
    <mergeCell ref="V153:V160"/>
    <mergeCell ref="U167:U168"/>
    <mergeCell ref="W153:W160"/>
    <mergeCell ref="T137:T140"/>
    <mergeCell ref="U141:U144"/>
    <mergeCell ref="W133:W136"/>
    <mergeCell ref="U161:U166"/>
    <mergeCell ref="U133:U136"/>
    <mergeCell ref="T141:T144"/>
    <mergeCell ref="T120:T123"/>
    <mergeCell ref="U120:U123"/>
    <mergeCell ref="W137:W140"/>
    <mergeCell ref="S167:S174"/>
    <mergeCell ref="W141:W144"/>
    <mergeCell ref="T145:T152"/>
    <mergeCell ref="V145:V152"/>
    <mergeCell ref="W161:W166"/>
    <mergeCell ref="T118:T119"/>
    <mergeCell ref="T114:T115"/>
    <mergeCell ref="T128:T130"/>
    <mergeCell ref="V128:V130"/>
    <mergeCell ref="U118:U119"/>
    <mergeCell ref="T167:T168"/>
    <mergeCell ref="T171:T172"/>
    <mergeCell ref="V169:V170"/>
    <mergeCell ref="T173:T174"/>
    <mergeCell ref="V171:V172"/>
    <mergeCell ref="V173:V174"/>
    <mergeCell ref="W171:W172"/>
    <mergeCell ref="T124:T125"/>
    <mergeCell ref="U124:U125"/>
    <mergeCell ref="V124:V125"/>
    <mergeCell ref="W124:W125"/>
    <mergeCell ref="W167:W168"/>
    <mergeCell ref="W131:W132"/>
    <mergeCell ref="T169:T170"/>
    <mergeCell ref="W128:W130"/>
    <mergeCell ref="V116:V117"/>
    <mergeCell ref="V133:V136"/>
    <mergeCell ref="T133:T136"/>
    <mergeCell ref="U153:U160"/>
    <mergeCell ref="AM1:AM3"/>
    <mergeCell ref="P153:P160"/>
    <mergeCell ref="P171:P172"/>
    <mergeCell ref="P118:P119"/>
    <mergeCell ref="Q99:Q102"/>
    <mergeCell ref="P133:P140"/>
    <mergeCell ref="Q167:Q168"/>
    <mergeCell ref="Q141:Q144"/>
    <mergeCell ref="P120:P123"/>
    <mergeCell ref="AF1:AF3"/>
    <mergeCell ref="AC1:AC3"/>
    <mergeCell ref="AC4:AC15"/>
    <mergeCell ref="T1:Y1"/>
    <mergeCell ref="AA23:AA24"/>
    <mergeCell ref="AA40:AA49"/>
    <mergeCell ref="S99:S102"/>
    <mergeCell ref="Y161:Y166"/>
    <mergeCell ref="X167:X174"/>
    <mergeCell ref="V167:V168"/>
    <mergeCell ref="R108:R111"/>
    <mergeCell ref="T126:T127"/>
    <mergeCell ref="V126:V127"/>
    <mergeCell ref="V114:V115"/>
    <mergeCell ref="Y4:Y15"/>
    <mergeCell ref="T161:T166"/>
    <mergeCell ref="U91:U94"/>
    <mergeCell ref="U82:U86"/>
    <mergeCell ref="U116:U117"/>
    <mergeCell ref="U114:U115"/>
    <mergeCell ref="S108:S111"/>
    <mergeCell ref="U128:U130"/>
    <mergeCell ref="X23:X24"/>
    <mergeCell ref="V120:V123"/>
    <mergeCell ref="V118:V119"/>
    <mergeCell ref="W82:W86"/>
    <mergeCell ref="T116:T117"/>
    <mergeCell ref="V99:V102"/>
    <mergeCell ref="W103:W107"/>
    <mergeCell ref="V108:V111"/>
    <mergeCell ref="U108:U111"/>
    <mergeCell ref="W66:W69"/>
    <mergeCell ref="V50:V53"/>
    <mergeCell ref="V82:V86"/>
    <mergeCell ref="W74:W77"/>
    <mergeCell ref="X80:X81"/>
    <mergeCell ref="P103:P105"/>
    <mergeCell ref="T95:T98"/>
    <mergeCell ref="S95:S98"/>
    <mergeCell ref="R103:R107"/>
    <mergeCell ref="R99:R102"/>
    <mergeCell ref="T99:T102"/>
    <mergeCell ref="S82:S86"/>
    <mergeCell ref="V91:V94"/>
    <mergeCell ref="T50:T53"/>
    <mergeCell ref="S74:S77"/>
    <mergeCell ref="R74:R77"/>
    <mergeCell ref="Q62:Q64"/>
    <mergeCell ref="Q78:Q81"/>
    <mergeCell ref="R95:R98"/>
    <mergeCell ref="Q103:Q105"/>
    <mergeCell ref="S103:S107"/>
    <mergeCell ref="U95:U98"/>
    <mergeCell ref="U99:U102"/>
    <mergeCell ref="T112:T113"/>
    <mergeCell ref="D80:D81"/>
    <mergeCell ref="U58:U61"/>
    <mergeCell ref="U70:U73"/>
    <mergeCell ref="U66:U69"/>
    <mergeCell ref="W47:W49"/>
    <mergeCell ref="W87:W90"/>
    <mergeCell ref="W70:W73"/>
    <mergeCell ref="T74:T77"/>
    <mergeCell ref="V80:V81"/>
    <mergeCell ref="V58:V61"/>
    <mergeCell ref="V74:V77"/>
    <mergeCell ref="V78:V79"/>
    <mergeCell ref="V62:V65"/>
    <mergeCell ref="V54:V57"/>
    <mergeCell ref="V87:V90"/>
    <mergeCell ref="W116:W117"/>
    <mergeCell ref="U80:U81"/>
    <mergeCell ref="U78:U79"/>
    <mergeCell ref="T80:T81"/>
    <mergeCell ref="V103:V107"/>
    <mergeCell ref="U103:U107"/>
    <mergeCell ref="T103:T107"/>
    <mergeCell ref="V95:V98"/>
    <mergeCell ref="V70:V73"/>
    <mergeCell ref="V66:V69"/>
    <mergeCell ref="T66:T69"/>
    <mergeCell ref="T62:T65"/>
    <mergeCell ref="V112:V113"/>
    <mergeCell ref="U112:U113"/>
    <mergeCell ref="T58:T61"/>
    <mergeCell ref="T54:T57"/>
    <mergeCell ref="W50:W53"/>
    <mergeCell ref="D50:D53"/>
    <mergeCell ref="O87:O90"/>
    <mergeCell ref="O91:O94"/>
    <mergeCell ref="N54:N56"/>
    <mergeCell ref="N87:N90"/>
    <mergeCell ref="A95:A98"/>
    <mergeCell ref="D95:D98"/>
    <mergeCell ref="J95:J98"/>
    <mergeCell ref="J87:J94"/>
    <mergeCell ref="N84:N86"/>
    <mergeCell ref="D87:D90"/>
    <mergeCell ref="C103:C107"/>
    <mergeCell ref="A99:A102"/>
    <mergeCell ref="B99:B102"/>
    <mergeCell ref="D78:D79"/>
    <mergeCell ref="M95:M98"/>
    <mergeCell ref="N95:N98"/>
    <mergeCell ref="D74:D77"/>
    <mergeCell ref="J103:J106"/>
    <mergeCell ref="A74:A77"/>
    <mergeCell ref="J99:J102"/>
    <mergeCell ref="D99:D102"/>
    <mergeCell ref="B103:B107"/>
    <mergeCell ref="A103:A107"/>
    <mergeCell ref="D103:D107"/>
    <mergeCell ref="M103:M107"/>
    <mergeCell ref="O103:O105"/>
    <mergeCell ref="B78:B81"/>
    <mergeCell ref="N103:N105"/>
    <mergeCell ref="N78:N81"/>
    <mergeCell ref="B95:B98"/>
    <mergeCell ref="B87:B94"/>
    <mergeCell ref="C29:C32"/>
    <mergeCell ref="D29:D32"/>
    <mergeCell ref="N50:N52"/>
    <mergeCell ref="O74:O76"/>
    <mergeCell ref="N58:N60"/>
    <mergeCell ref="B25:B39"/>
    <mergeCell ref="A25:A39"/>
    <mergeCell ref="P84:P86"/>
    <mergeCell ref="J74:J77"/>
    <mergeCell ref="C78:C81"/>
    <mergeCell ref="C50:C73"/>
    <mergeCell ref="C95:C98"/>
    <mergeCell ref="N99:N102"/>
    <mergeCell ref="M99:M102"/>
    <mergeCell ref="D82:D86"/>
    <mergeCell ref="M82:M86"/>
    <mergeCell ref="O95:O98"/>
    <mergeCell ref="O84:O86"/>
    <mergeCell ref="J82:J86"/>
    <mergeCell ref="C74:C77"/>
    <mergeCell ref="K74:K77"/>
    <mergeCell ref="N66:N69"/>
    <mergeCell ref="N91:N94"/>
    <mergeCell ref="D91:D94"/>
    <mergeCell ref="C99:C102"/>
    <mergeCell ref="O99:O102"/>
    <mergeCell ref="P91:P94"/>
    <mergeCell ref="P87:P90"/>
    <mergeCell ref="M50:M73"/>
    <mergeCell ref="C87:C94"/>
    <mergeCell ref="P70:P73"/>
    <mergeCell ref="O70:O73"/>
    <mergeCell ref="M16:M22"/>
    <mergeCell ref="J40:J49"/>
    <mergeCell ref="N42:N43"/>
    <mergeCell ref="P21:P22"/>
    <mergeCell ref="N40:N41"/>
    <mergeCell ref="B23:B24"/>
    <mergeCell ref="F2:F3"/>
    <mergeCell ref="E1:E3"/>
    <mergeCell ref="I2:I3"/>
    <mergeCell ref="A40:A49"/>
    <mergeCell ref="C40:C49"/>
    <mergeCell ref="B40:B49"/>
    <mergeCell ref="O8:O11"/>
    <mergeCell ref="N33:N35"/>
    <mergeCell ref="N45:N46"/>
    <mergeCell ref="M40:M49"/>
    <mergeCell ref="D45:D49"/>
    <mergeCell ref="N1:S1"/>
    <mergeCell ref="D12:D15"/>
    <mergeCell ref="P6:P7"/>
    <mergeCell ref="D33:D35"/>
    <mergeCell ref="J4:J15"/>
    <mergeCell ref="N47:N48"/>
    <mergeCell ref="C33:C35"/>
    <mergeCell ref="O47:O48"/>
    <mergeCell ref="C38:C39"/>
    <mergeCell ref="P25:P28"/>
    <mergeCell ref="P40:P41"/>
    <mergeCell ref="P36:P38"/>
    <mergeCell ref="P47:P48"/>
    <mergeCell ref="C25:C28"/>
    <mergeCell ref="C16:C18"/>
    <mergeCell ref="A87:A94"/>
    <mergeCell ref="Q87:Q90"/>
    <mergeCell ref="D54:D57"/>
    <mergeCell ref="C82:C86"/>
    <mergeCell ref="D58:D61"/>
    <mergeCell ref="M74:M77"/>
    <mergeCell ref="A50:A73"/>
    <mergeCell ref="J50:J72"/>
    <mergeCell ref="P78:P81"/>
    <mergeCell ref="P66:P69"/>
    <mergeCell ref="J78:J81"/>
    <mergeCell ref="D70:D73"/>
    <mergeCell ref="D66:D69"/>
    <mergeCell ref="M87:M94"/>
    <mergeCell ref="N74:N76"/>
    <mergeCell ref="P74:P76"/>
    <mergeCell ref="Q74:Q76"/>
    <mergeCell ref="N70:N73"/>
    <mergeCell ref="Q50:Q52"/>
    <mergeCell ref="P50:P52"/>
    <mergeCell ref="O50:O52"/>
    <mergeCell ref="Q54:Q56"/>
    <mergeCell ref="B82:B86"/>
    <mergeCell ref="A82:A86"/>
    <mergeCell ref="A78:A81"/>
    <mergeCell ref="B50:B73"/>
    <mergeCell ref="B74:B77"/>
    <mergeCell ref="M78:M81"/>
    <mergeCell ref="O78:O81"/>
    <mergeCell ref="N62:N64"/>
    <mergeCell ref="L74:L77"/>
    <mergeCell ref="D62:D65"/>
    <mergeCell ref="B1:B3"/>
    <mergeCell ref="J16:J22"/>
    <mergeCell ref="D25:D28"/>
    <mergeCell ref="B4:B15"/>
    <mergeCell ref="B16:B22"/>
    <mergeCell ref="J23:J24"/>
    <mergeCell ref="C8:C11"/>
    <mergeCell ref="O33:O35"/>
    <mergeCell ref="A16:A22"/>
    <mergeCell ref="C23:C24"/>
    <mergeCell ref="C36:C37"/>
    <mergeCell ref="C4:C7"/>
    <mergeCell ref="C21:C22"/>
    <mergeCell ref="C1:C3"/>
    <mergeCell ref="A1:A3"/>
    <mergeCell ref="M25:M39"/>
    <mergeCell ref="A23:A24"/>
    <mergeCell ref="C12:C15"/>
    <mergeCell ref="K1:K3"/>
    <mergeCell ref="M23:M24"/>
    <mergeCell ref="D1:D3"/>
    <mergeCell ref="J1:J3"/>
    <mergeCell ref="O12:O15"/>
    <mergeCell ref="J25:J39"/>
    <mergeCell ref="G2:G3"/>
    <mergeCell ref="O21:O22"/>
    <mergeCell ref="H1:I1"/>
    <mergeCell ref="M4:M15"/>
    <mergeCell ref="D16:D18"/>
    <mergeCell ref="A4:A15"/>
    <mergeCell ref="D8:D11"/>
    <mergeCell ref="N8:N11"/>
    <mergeCell ref="AE1:AE3"/>
    <mergeCell ref="AB1:AB3"/>
    <mergeCell ref="AB4:AB15"/>
    <mergeCell ref="AB16:AB22"/>
    <mergeCell ref="W23:W24"/>
    <mergeCell ref="W12:W15"/>
    <mergeCell ref="AA25:AA39"/>
    <mergeCell ref="Z1:Z3"/>
    <mergeCell ref="Z20:Z22"/>
    <mergeCell ref="W36:W39"/>
    <mergeCell ref="Y2:Y3"/>
    <mergeCell ref="W4:W7"/>
    <mergeCell ref="AA16:AA22"/>
    <mergeCell ref="AA1:AA3"/>
    <mergeCell ref="Y21:Y22"/>
    <mergeCell ref="W21:W22"/>
    <mergeCell ref="Y36:Y39"/>
    <mergeCell ref="AD1:AD3"/>
    <mergeCell ref="AC23:AC24"/>
    <mergeCell ref="W8:W11"/>
    <mergeCell ref="Y23:Y24"/>
    <mergeCell ref="W16:W18"/>
    <mergeCell ref="Z16:Z19"/>
    <mergeCell ref="Y33:Y35"/>
    <mergeCell ref="Y25:Y28"/>
    <mergeCell ref="Z4:Z15"/>
    <mergeCell ref="AA4:AA15"/>
    <mergeCell ref="X25:X39"/>
    <mergeCell ref="Y16:Y18"/>
    <mergeCell ref="V2:W3"/>
    <mergeCell ref="AC16:AC22"/>
    <mergeCell ref="Z23:Z24"/>
    <mergeCell ref="U8:U11"/>
    <mergeCell ref="T8:T11"/>
    <mergeCell ref="U4:U7"/>
    <mergeCell ref="V8:V11"/>
    <mergeCell ref="X4:X15"/>
    <mergeCell ref="X40:X41"/>
    <mergeCell ref="U40:U41"/>
    <mergeCell ref="V40:V41"/>
    <mergeCell ref="U16:U18"/>
    <mergeCell ref="Q8:Q11"/>
    <mergeCell ref="Q36:Q38"/>
    <mergeCell ref="V36:V39"/>
    <mergeCell ref="R47:R48"/>
    <mergeCell ref="V45:V46"/>
    <mergeCell ref="W45:W46"/>
    <mergeCell ref="T25:T28"/>
    <mergeCell ref="V47:V49"/>
    <mergeCell ref="T45:T46"/>
    <mergeCell ref="Q29:Q32"/>
    <mergeCell ref="S29:S32"/>
    <mergeCell ref="T29:T32"/>
    <mergeCell ref="U29:U32"/>
    <mergeCell ref="V29:V32"/>
    <mergeCell ref="Q4:Q5"/>
    <mergeCell ref="Q6:Q7"/>
    <mergeCell ref="S21:S22"/>
    <mergeCell ref="T36:T39"/>
    <mergeCell ref="U25:U28"/>
    <mergeCell ref="V33:V35"/>
    <mergeCell ref="V4:V7"/>
    <mergeCell ref="R25:R39"/>
    <mergeCell ref="R16:R18"/>
    <mergeCell ref="V25:V28"/>
    <mergeCell ref="R42:R43"/>
    <mergeCell ref="P33:P35"/>
    <mergeCell ref="Q12:Q15"/>
    <mergeCell ref="O16:O18"/>
    <mergeCell ref="V23:V24"/>
    <mergeCell ref="P23:P24"/>
    <mergeCell ref="O23:O24"/>
    <mergeCell ref="T42:T44"/>
    <mergeCell ref="S33:S35"/>
    <mergeCell ref="V21:V22"/>
    <mergeCell ref="U12:U15"/>
    <mergeCell ref="V16:V18"/>
    <mergeCell ref="V12:V15"/>
    <mergeCell ref="S36:S39"/>
    <mergeCell ref="R23:R24"/>
    <mergeCell ref="P16:P18"/>
    <mergeCell ref="T12:T15"/>
    <mergeCell ref="Q33:Q35"/>
    <mergeCell ref="Q23:Q24"/>
    <mergeCell ref="U36:U39"/>
    <mergeCell ref="U42:U44"/>
    <mergeCell ref="T40:T41"/>
    <mergeCell ref="O42:O43"/>
    <mergeCell ref="U2:U3"/>
    <mergeCell ref="V42:V44"/>
    <mergeCell ref="R4:R15"/>
    <mergeCell ref="F1:G1"/>
    <mergeCell ref="T4:T7"/>
    <mergeCell ref="Q25:Q28"/>
    <mergeCell ref="S16:S18"/>
    <mergeCell ref="U23:U24"/>
    <mergeCell ref="U21:U22"/>
    <mergeCell ref="U33:U35"/>
    <mergeCell ref="S23:S24"/>
    <mergeCell ref="R45:R46"/>
    <mergeCell ref="D21:D22"/>
    <mergeCell ref="T16:T18"/>
    <mergeCell ref="T2:T3"/>
    <mergeCell ref="T23:T24"/>
    <mergeCell ref="R21:R22"/>
    <mergeCell ref="Q21:Q22"/>
    <mergeCell ref="D23:D24"/>
    <mergeCell ref="D4:D7"/>
    <mergeCell ref="H2:H3"/>
    <mergeCell ref="N16:N18"/>
    <mergeCell ref="D36:D39"/>
    <mergeCell ref="Q16:Q18"/>
    <mergeCell ref="D40:D44"/>
    <mergeCell ref="R2:S2"/>
    <mergeCell ref="L1:L3"/>
    <mergeCell ref="M1:M3"/>
    <mergeCell ref="Q42:Q43"/>
    <mergeCell ref="P12:P15"/>
    <mergeCell ref="P8:P11"/>
    <mergeCell ref="N6:N7"/>
    <mergeCell ref="T82:T86"/>
    <mergeCell ref="T108:T111"/>
    <mergeCell ref="U87:U90"/>
    <mergeCell ref="T91:T94"/>
    <mergeCell ref="S128:S130"/>
    <mergeCell ref="O40:O41"/>
    <mergeCell ref="U62:U65"/>
    <mergeCell ref="U47:U49"/>
    <mergeCell ref="U50:U53"/>
    <mergeCell ref="U74:U77"/>
    <mergeCell ref="R78:R81"/>
    <mergeCell ref="S40:S49"/>
    <mergeCell ref="U54:U57"/>
    <mergeCell ref="P62:P64"/>
    <mergeCell ref="T78:T79"/>
    <mergeCell ref="Q47:Q48"/>
    <mergeCell ref="O66:O69"/>
    <mergeCell ref="Q70:Q73"/>
    <mergeCell ref="O45:O46"/>
    <mergeCell ref="U45:U46"/>
    <mergeCell ref="Q58:Q60"/>
    <mergeCell ref="R50:R61"/>
    <mergeCell ref="T70:T73"/>
    <mergeCell ref="R82:R86"/>
    <mergeCell ref="Q40:Q41"/>
    <mergeCell ref="P42:P43"/>
    <mergeCell ref="Q91:Q94"/>
    <mergeCell ref="P99:P102"/>
    <mergeCell ref="Q95:Q98"/>
    <mergeCell ref="P95:P98"/>
    <mergeCell ref="T87:T90"/>
    <mergeCell ref="U126:U127"/>
    <mergeCell ref="S50:S61"/>
    <mergeCell ref="T47:T49"/>
    <mergeCell ref="Q66:Q69"/>
    <mergeCell ref="O58:O60"/>
    <mergeCell ref="O62:O64"/>
    <mergeCell ref="O54:O56"/>
    <mergeCell ref="P45:P46"/>
    <mergeCell ref="P54:P56"/>
    <mergeCell ref="P58:P60"/>
    <mergeCell ref="N2:N3"/>
    <mergeCell ref="O2:O3"/>
    <mergeCell ref="P2:Q3"/>
    <mergeCell ref="Q45:Q46"/>
    <mergeCell ref="S78:S81"/>
    <mergeCell ref="T21:T22"/>
    <mergeCell ref="N36:N38"/>
    <mergeCell ref="S4:S15"/>
    <mergeCell ref="O6:O7"/>
    <mergeCell ref="P4:P5"/>
    <mergeCell ref="O25:O28"/>
    <mergeCell ref="N23:N24"/>
    <mergeCell ref="N25:N28"/>
    <mergeCell ref="O36:O38"/>
    <mergeCell ref="N4:N5"/>
    <mergeCell ref="N21:N22"/>
    <mergeCell ref="R40:R41"/>
    <mergeCell ref="T33:T35"/>
    <mergeCell ref="N12:N15"/>
    <mergeCell ref="O4:O5"/>
    <mergeCell ref="R128:R130"/>
    <mergeCell ref="O128:O130"/>
    <mergeCell ref="R131:R132"/>
    <mergeCell ref="S131:S132"/>
    <mergeCell ref="S141:S144"/>
    <mergeCell ref="O153:O160"/>
    <mergeCell ref="S133:S140"/>
    <mergeCell ref="S112:S113"/>
    <mergeCell ref="Q153:Q160"/>
    <mergeCell ref="S153:S160"/>
    <mergeCell ref="R141:R144"/>
    <mergeCell ref="S126:S127"/>
    <mergeCell ref="R161:R166"/>
    <mergeCell ref="Q145:Q152"/>
    <mergeCell ref="Q120:Q123"/>
    <mergeCell ref="Q116:Q117"/>
    <mergeCell ref="R126:R127"/>
    <mergeCell ref="P114:P115"/>
    <mergeCell ref="O120:O123"/>
    <mergeCell ref="O161:O166"/>
    <mergeCell ref="O118:O119"/>
    <mergeCell ref="O145:O152"/>
    <mergeCell ref="P128:P130"/>
    <mergeCell ref="S145:S152"/>
    <mergeCell ref="S161:S166"/>
    <mergeCell ref="R112:R113"/>
    <mergeCell ref="J112:J113"/>
    <mergeCell ref="M112:M113"/>
    <mergeCell ref="Q84:Q86"/>
    <mergeCell ref="Q205:Q208"/>
    <mergeCell ref="C181:C182"/>
    <mergeCell ref="C167:C174"/>
    <mergeCell ref="N167:N168"/>
    <mergeCell ref="C195:C204"/>
    <mergeCell ref="R153:R160"/>
    <mergeCell ref="R145:R152"/>
    <mergeCell ref="R133:R140"/>
    <mergeCell ref="O131:O132"/>
    <mergeCell ref="R181:R192"/>
    <mergeCell ref="R167:R174"/>
    <mergeCell ref="R177:R180"/>
    <mergeCell ref="Q181:Q188"/>
    <mergeCell ref="R193:R194"/>
    <mergeCell ref="Q171:Q172"/>
    <mergeCell ref="O169:O170"/>
    <mergeCell ref="R195:R204"/>
    <mergeCell ref="R205:R208"/>
    <mergeCell ref="C131:C132"/>
    <mergeCell ref="D137:D140"/>
    <mergeCell ref="P175:P176"/>
    <mergeCell ref="P169:P170"/>
    <mergeCell ref="O175:O176"/>
    <mergeCell ref="O179:O180"/>
    <mergeCell ref="J195:J204"/>
    <mergeCell ref="N195:N204"/>
    <mergeCell ref="N133:N140"/>
    <mergeCell ref="R175:R176"/>
    <mergeCell ref="D126:D127"/>
    <mergeCell ref="D211:D212"/>
    <mergeCell ref="Q209:Q210"/>
    <mergeCell ref="P205:P208"/>
    <mergeCell ref="D112:D113"/>
    <mergeCell ref="N116:N117"/>
    <mergeCell ref="P173:P174"/>
    <mergeCell ref="P141:P144"/>
    <mergeCell ref="Q169:Q170"/>
    <mergeCell ref="Q161:Q166"/>
    <mergeCell ref="Q177:Q178"/>
    <mergeCell ref="D124:D125"/>
    <mergeCell ref="N124:N125"/>
    <mergeCell ref="O124:O125"/>
    <mergeCell ref="P124:P125"/>
    <mergeCell ref="Q124:Q125"/>
    <mergeCell ref="Q175:Q176"/>
    <mergeCell ref="N126:N127"/>
    <mergeCell ref="P131:P132"/>
    <mergeCell ref="Q131:Q132"/>
    <mergeCell ref="Q128:Q130"/>
    <mergeCell ref="O173:O174"/>
    <mergeCell ref="P116:P117"/>
    <mergeCell ref="O114:O115"/>
    <mergeCell ref="M133:M140"/>
    <mergeCell ref="L153:L160"/>
    <mergeCell ref="N211:N212"/>
    <mergeCell ref="O116:O117"/>
    <mergeCell ref="D118:D119"/>
    <mergeCell ref="O211:O212"/>
    <mergeCell ref="N209:N210"/>
    <mergeCell ref="N131:N132"/>
    <mergeCell ref="D120:D123"/>
    <mergeCell ref="A128:A132"/>
    <mergeCell ref="J161:J166"/>
    <mergeCell ref="N128:N130"/>
    <mergeCell ref="P145:P152"/>
    <mergeCell ref="Q173:Q174"/>
    <mergeCell ref="O126:O127"/>
    <mergeCell ref="Q126:Q127"/>
    <mergeCell ref="D128:D130"/>
    <mergeCell ref="D131:D132"/>
    <mergeCell ref="A153:A160"/>
    <mergeCell ref="B153:B160"/>
    <mergeCell ref="N120:N123"/>
    <mergeCell ref="D141:D144"/>
    <mergeCell ref="C133:C134"/>
    <mergeCell ref="J175:J176"/>
    <mergeCell ref="D164:D166"/>
    <mergeCell ref="D153:D156"/>
    <mergeCell ref="A161:A166"/>
    <mergeCell ref="N175:N176"/>
    <mergeCell ref="J128:J132"/>
    <mergeCell ref="M145:M152"/>
    <mergeCell ref="N141:N144"/>
    <mergeCell ref="M153:M160"/>
    <mergeCell ref="N169:N170"/>
    <mergeCell ref="M141:M144"/>
    <mergeCell ref="N145:N152"/>
    <mergeCell ref="K141:K144"/>
    <mergeCell ref="L141:L144"/>
    <mergeCell ref="J167:J174"/>
    <mergeCell ref="B167:B174"/>
    <mergeCell ref="A167:A174"/>
    <mergeCell ref="N171:N172"/>
    <mergeCell ref="B195:B204"/>
    <mergeCell ref="B213:B220"/>
    <mergeCell ref="K213:K220"/>
    <mergeCell ref="M213:M220"/>
    <mergeCell ref="L213:L220"/>
    <mergeCell ref="N221:N222"/>
    <mergeCell ref="J221:J222"/>
    <mergeCell ref="O217:O218"/>
    <mergeCell ref="D199:D200"/>
    <mergeCell ref="D221:D222"/>
    <mergeCell ref="A195:A204"/>
    <mergeCell ref="B177:B180"/>
    <mergeCell ref="O205:O208"/>
    <mergeCell ref="D195:D196"/>
    <mergeCell ref="O189:O192"/>
    <mergeCell ref="O177:O178"/>
    <mergeCell ref="K195:K204"/>
    <mergeCell ref="B205:B212"/>
    <mergeCell ref="D207:D208"/>
    <mergeCell ref="N189:N192"/>
    <mergeCell ref="J177:J180"/>
    <mergeCell ref="D197:D198"/>
    <mergeCell ref="D177:D180"/>
    <mergeCell ref="A177:A180"/>
    <mergeCell ref="C209:C212"/>
    <mergeCell ref="B193:B194"/>
    <mergeCell ref="D205:D206"/>
    <mergeCell ref="C187:C188"/>
    <mergeCell ref="D201:D202"/>
    <mergeCell ref="O215:O216"/>
    <mergeCell ref="M195:M204"/>
    <mergeCell ref="B221:B222"/>
    <mergeCell ref="A257:A259"/>
    <mergeCell ref="D233:D236"/>
    <mergeCell ref="B260:B263"/>
    <mergeCell ref="B274:B277"/>
    <mergeCell ref="A264:A269"/>
    <mergeCell ref="D237:D240"/>
    <mergeCell ref="A270:A273"/>
    <mergeCell ref="D274:D277"/>
    <mergeCell ref="D270:D271"/>
    <mergeCell ref="C274:C277"/>
    <mergeCell ref="B278:B282"/>
    <mergeCell ref="C278:C282"/>
    <mergeCell ref="D280:D282"/>
    <mergeCell ref="C260:C263"/>
    <mergeCell ref="A233:A256"/>
    <mergeCell ref="B270:B273"/>
    <mergeCell ref="A260:A263"/>
    <mergeCell ref="A278:A282"/>
    <mergeCell ref="B233:B256"/>
    <mergeCell ref="D272:D273"/>
    <mergeCell ref="D245:D248"/>
    <mergeCell ref="D249:D252"/>
    <mergeCell ref="A274:A277"/>
    <mergeCell ref="C264:C268"/>
    <mergeCell ref="D241:D244"/>
    <mergeCell ref="D253:D256"/>
    <mergeCell ref="C233:C256"/>
    <mergeCell ref="C270:C273"/>
    <mergeCell ref="D260:D263"/>
    <mergeCell ref="B264:B269"/>
    <mergeCell ref="D278:D279"/>
    <mergeCell ref="D217:D220"/>
    <mergeCell ref="B175:B176"/>
    <mergeCell ref="B161:B166"/>
    <mergeCell ref="D213:D216"/>
    <mergeCell ref="C213:C220"/>
    <mergeCell ref="B223:B232"/>
    <mergeCell ref="A205:A212"/>
    <mergeCell ref="D157:D160"/>
    <mergeCell ref="J141:J144"/>
    <mergeCell ref="C161:C162"/>
    <mergeCell ref="M167:M174"/>
    <mergeCell ref="C177:C180"/>
    <mergeCell ref="A141:A144"/>
    <mergeCell ref="C139:C140"/>
    <mergeCell ref="A175:A176"/>
    <mergeCell ref="K153:K160"/>
    <mergeCell ref="B133:B140"/>
    <mergeCell ref="D223:D227"/>
    <mergeCell ref="M177:M180"/>
    <mergeCell ref="A181:A194"/>
    <mergeCell ref="M181:M194"/>
    <mergeCell ref="C164:C165"/>
    <mergeCell ref="A223:A232"/>
    <mergeCell ref="A221:A222"/>
    <mergeCell ref="C223:C232"/>
    <mergeCell ref="A213:A220"/>
    <mergeCell ref="D228:D232"/>
    <mergeCell ref="C221:C222"/>
    <mergeCell ref="J153:J160"/>
    <mergeCell ref="J145:J152"/>
    <mergeCell ref="D133:D136"/>
    <mergeCell ref="M223:M232"/>
    <mergeCell ref="A108:A111"/>
    <mergeCell ref="B108:B111"/>
    <mergeCell ref="C108:C111"/>
    <mergeCell ref="B141:B144"/>
    <mergeCell ref="C137:C138"/>
    <mergeCell ref="N161:N166"/>
    <mergeCell ref="B181:B192"/>
    <mergeCell ref="C153:C160"/>
    <mergeCell ref="N181:N188"/>
    <mergeCell ref="N153:N160"/>
    <mergeCell ref="M161:M166"/>
    <mergeCell ref="D181:D184"/>
    <mergeCell ref="C185:C186"/>
    <mergeCell ref="C183:C184"/>
    <mergeCell ref="A145:A152"/>
    <mergeCell ref="N173:N174"/>
    <mergeCell ref="A133:A140"/>
    <mergeCell ref="C189:C192"/>
    <mergeCell ref="D175:D176"/>
    <mergeCell ref="D171:D172"/>
    <mergeCell ref="A114:A127"/>
    <mergeCell ref="B128:B132"/>
    <mergeCell ref="D161:D163"/>
    <mergeCell ref="B145:B152"/>
    <mergeCell ref="C141:C144"/>
    <mergeCell ref="B114:B127"/>
    <mergeCell ref="M175:M176"/>
    <mergeCell ref="J181:J194"/>
    <mergeCell ref="N193:N194"/>
    <mergeCell ref="D149:D152"/>
    <mergeCell ref="J133:J140"/>
    <mergeCell ref="J114:J127"/>
    <mergeCell ref="D114:D115"/>
    <mergeCell ref="D116:D117"/>
    <mergeCell ref="N118:N119"/>
    <mergeCell ref="N114:N115"/>
    <mergeCell ref="C175:C176"/>
    <mergeCell ref="C193:C194"/>
    <mergeCell ref="D203:D204"/>
    <mergeCell ref="D193:D194"/>
    <mergeCell ref="O195:O204"/>
    <mergeCell ref="P195:P204"/>
    <mergeCell ref="P177:P178"/>
    <mergeCell ref="P193:P194"/>
    <mergeCell ref="O181:O188"/>
    <mergeCell ref="D189:D192"/>
    <mergeCell ref="D185:D188"/>
    <mergeCell ref="C205:C208"/>
    <mergeCell ref="L195:L204"/>
    <mergeCell ref="N205:N208"/>
    <mergeCell ref="D167:D168"/>
    <mergeCell ref="D173:D174"/>
    <mergeCell ref="O167:O168"/>
    <mergeCell ref="O193:O194"/>
    <mergeCell ref="M128:M130"/>
    <mergeCell ref="M114:M127"/>
    <mergeCell ref="P189:P192"/>
    <mergeCell ref="D209:D210"/>
    <mergeCell ref="O209:O210"/>
    <mergeCell ref="N179:N180"/>
    <mergeCell ref="P181:P188"/>
    <mergeCell ref="C112:C113"/>
    <mergeCell ref="Q189:Q192"/>
    <mergeCell ref="Q195:Q204"/>
    <mergeCell ref="C128:C129"/>
    <mergeCell ref="C135:C136"/>
    <mergeCell ref="D145:D148"/>
    <mergeCell ref="C145:C152"/>
    <mergeCell ref="M108:M111"/>
    <mergeCell ref="P108:P111"/>
    <mergeCell ref="Q179:Q180"/>
    <mergeCell ref="O141:O144"/>
    <mergeCell ref="D108:D111"/>
    <mergeCell ref="P179:P180"/>
    <mergeCell ref="Q133:Q140"/>
    <mergeCell ref="O171:O172"/>
    <mergeCell ref="N177:N178"/>
    <mergeCell ref="P167:P168"/>
    <mergeCell ref="D169:D170"/>
    <mergeCell ref="Q114:Q115"/>
    <mergeCell ref="Q118:Q119"/>
    <mergeCell ref="N108:N111"/>
    <mergeCell ref="Q108:Q111"/>
    <mergeCell ref="P126:P127"/>
    <mergeCell ref="O108:O111"/>
    <mergeCell ref="J108:J111"/>
    <mergeCell ref="P161:P166"/>
    <mergeCell ref="O133:O140"/>
    <mergeCell ref="C114:C127"/>
    <mergeCell ref="Y128:Y130"/>
    <mergeCell ref="X128:X130"/>
    <mergeCell ref="AA128:AA132"/>
    <mergeCell ref="Z128:Z132"/>
    <mergeCell ref="Y131:Y132"/>
    <mergeCell ref="AA133:AA140"/>
    <mergeCell ref="Z133:Z136"/>
    <mergeCell ref="Z145:Z152"/>
    <mergeCell ref="AA161:AA166"/>
    <mergeCell ref="Y145:Y152"/>
    <mergeCell ref="X145:X152"/>
    <mergeCell ref="AA103:AA107"/>
    <mergeCell ref="Y153:Y160"/>
    <mergeCell ref="Y133:Y136"/>
    <mergeCell ref="Z143:Z144"/>
    <mergeCell ref="Z141:Z142"/>
    <mergeCell ref="Z137:Z140"/>
    <mergeCell ref="X131:X132"/>
    <mergeCell ref="Z114:Z119"/>
    <mergeCell ref="Z108:Z111"/>
    <mergeCell ref="AA145:AA152"/>
    <mergeCell ref="X161:X166"/>
    <mergeCell ref="Y137:Y140"/>
    <mergeCell ref="AA141:AA144"/>
    <mergeCell ref="X108:X111"/>
    <mergeCell ref="Y141:Y144"/>
    <mergeCell ref="X153:X160"/>
    <mergeCell ref="Z164:Z166"/>
    <mergeCell ref="Z153:Z160"/>
    <mergeCell ref="Z161:Z163"/>
    <mergeCell ref="X133:X140"/>
    <mergeCell ref="X114:X125"/>
    <mergeCell ref="W120:W123"/>
    <mergeCell ref="AA74:AA77"/>
    <mergeCell ref="Z78:Z81"/>
    <mergeCell ref="W118:W119"/>
    <mergeCell ref="X103:X107"/>
    <mergeCell ref="Y103:Y107"/>
    <mergeCell ref="W95:W98"/>
    <mergeCell ref="W99:W102"/>
    <mergeCell ref="AA114:AA127"/>
    <mergeCell ref="Y99:Y102"/>
    <mergeCell ref="Y91:Y94"/>
    <mergeCell ref="Y114:Y127"/>
    <mergeCell ref="X126:X127"/>
    <mergeCell ref="X50:X73"/>
    <mergeCell ref="AA82:AA86"/>
    <mergeCell ref="Z52:Z53"/>
    <mergeCell ref="W78:W79"/>
    <mergeCell ref="W91:W94"/>
    <mergeCell ref="W62:W65"/>
    <mergeCell ref="Y95:Y98"/>
    <mergeCell ref="Y50:Y73"/>
    <mergeCell ref="X78:X79"/>
    <mergeCell ref="X74:X77"/>
    <mergeCell ref="Y74:Y77"/>
    <mergeCell ref="Z56:Z57"/>
    <mergeCell ref="Y78:Y81"/>
    <mergeCell ref="W126:W127"/>
    <mergeCell ref="Z62:Z63"/>
    <mergeCell ref="Z120:Z127"/>
    <mergeCell ref="Z95:Z98"/>
    <mergeCell ref="W54:W57"/>
    <mergeCell ref="W58:W61"/>
    <mergeCell ref="W114:W115"/>
    <mergeCell ref="W80:W81"/>
    <mergeCell ref="Y82:Y86"/>
    <mergeCell ref="Z50:Z51"/>
    <mergeCell ref="Z70:Z71"/>
    <mergeCell ref="AA99:AA102"/>
    <mergeCell ref="Z91:Z94"/>
    <mergeCell ref="W108:W111"/>
    <mergeCell ref="W25:W28"/>
    <mergeCell ref="W33:W35"/>
    <mergeCell ref="W40:W41"/>
    <mergeCell ref="AB103:AB107"/>
    <mergeCell ref="X42:X44"/>
    <mergeCell ref="Z60:Z61"/>
    <mergeCell ref="Z72:Z73"/>
    <mergeCell ref="AA78:AA81"/>
    <mergeCell ref="AA108:AA111"/>
    <mergeCell ref="Z68:Z69"/>
    <mergeCell ref="AB108:AB111"/>
    <mergeCell ref="AA112:AA113"/>
    <mergeCell ref="Z112:Z113"/>
    <mergeCell ref="Z87:Z90"/>
    <mergeCell ref="AB99:AB102"/>
    <mergeCell ref="Z74:Z75"/>
    <mergeCell ref="AA87:AA94"/>
    <mergeCell ref="AB40:AB49"/>
    <mergeCell ref="Z99:Z102"/>
    <mergeCell ref="W42:W44"/>
    <mergeCell ref="X47:X49"/>
    <mergeCell ref="W29:W32"/>
    <mergeCell ref="X45:X46"/>
    <mergeCell ref="Y29:Y32"/>
    <mergeCell ref="Y40:Y49"/>
    <mergeCell ref="Y108:Y111"/>
    <mergeCell ref="AJ82:AJ86"/>
    <mergeCell ref="AI82:AI86"/>
    <mergeCell ref="AB78:AB81"/>
    <mergeCell ref="AB74:AB77"/>
    <mergeCell ref="AC82:AC86"/>
    <mergeCell ref="AC50:AC73"/>
    <mergeCell ref="AC95:AC98"/>
    <mergeCell ref="AC40:AC49"/>
    <mergeCell ref="AH91:AH94"/>
    <mergeCell ref="AL40:AL49"/>
    <mergeCell ref="AL50:AL68"/>
    <mergeCell ref="Z76:Z77"/>
    <mergeCell ref="AA50:AA73"/>
    <mergeCell ref="AH78:AH81"/>
    <mergeCell ref="X95:X98"/>
    <mergeCell ref="Y87:Y90"/>
    <mergeCell ref="AB114:AB127"/>
    <mergeCell ref="AH108:AH111"/>
    <mergeCell ref="AC112:AC113"/>
    <mergeCell ref="AB112:AB113"/>
    <mergeCell ref="AL108:AL111"/>
    <mergeCell ref="AJ108:AJ111"/>
    <mergeCell ref="AI95:AI98"/>
    <mergeCell ref="AC103:AC107"/>
    <mergeCell ref="AH40:AH49"/>
    <mergeCell ref="Z66:Z67"/>
    <mergeCell ref="AI103:AI106"/>
    <mergeCell ref="AL95:AL98"/>
    <mergeCell ref="AI87:AI90"/>
    <mergeCell ref="AK87:AK90"/>
    <mergeCell ref="AL99:AL102"/>
    <mergeCell ref="AJ91:AJ94"/>
    <mergeCell ref="AH74:AH77"/>
    <mergeCell ref="AH50:AH68"/>
    <mergeCell ref="AH95:AH98"/>
    <mergeCell ref="Z45:Z49"/>
    <mergeCell ref="AH82:AH86"/>
    <mergeCell ref="Z58:Z59"/>
    <mergeCell ref="AK103:AK106"/>
    <mergeCell ref="AH103:AH106"/>
    <mergeCell ref="AJ103:AJ106"/>
    <mergeCell ref="AK74:AK77"/>
    <mergeCell ref="AL103:AL106"/>
    <mergeCell ref="AJ50:AJ68"/>
    <mergeCell ref="AI99:AI102"/>
    <mergeCell ref="AC87:AC94"/>
    <mergeCell ref="AC78:AC81"/>
    <mergeCell ref="AL74:AL77"/>
    <mergeCell ref="AH23:AH24"/>
    <mergeCell ref="AL25:AL39"/>
    <mergeCell ref="AK82:AK86"/>
    <mergeCell ref="AL23:AL24"/>
    <mergeCell ref="AK50:AK68"/>
    <mergeCell ref="AJ87:AJ90"/>
    <mergeCell ref="AD88:AD89"/>
    <mergeCell ref="Z64:Z65"/>
    <mergeCell ref="Z54:Z55"/>
    <mergeCell ref="AA95:AA98"/>
    <mergeCell ref="AB82:AB86"/>
    <mergeCell ref="AK40:AK49"/>
    <mergeCell ref="AC74:AC77"/>
    <mergeCell ref="AJ99:AJ102"/>
    <mergeCell ref="AL78:AL81"/>
    <mergeCell ref="AB95:AB98"/>
    <mergeCell ref="AB87:AB94"/>
    <mergeCell ref="AI25:AI39"/>
    <mergeCell ref="AC99:AC102"/>
    <mergeCell ref="AB25:AB39"/>
    <mergeCell ref="AC25:AC39"/>
    <mergeCell ref="AB50:AB73"/>
    <mergeCell ref="AI40:AI49"/>
    <mergeCell ref="AI50:AI68"/>
    <mergeCell ref="Z40:Z44"/>
    <mergeCell ref="AK91:AK94"/>
    <mergeCell ref="Z33:Z35"/>
    <mergeCell ref="Z29:Z32"/>
    <mergeCell ref="Z25:Z28"/>
    <mergeCell ref="Z36:Z39"/>
    <mergeCell ref="AJ4:AJ15"/>
    <mergeCell ref="AK78:AK81"/>
    <mergeCell ref="AJ78:AJ81"/>
    <mergeCell ref="AL82:AL86"/>
    <mergeCell ref="AI78:AI81"/>
    <mergeCell ref="AK95:AK98"/>
    <mergeCell ref="AK99:AK102"/>
    <mergeCell ref="AJ74:AJ77"/>
    <mergeCell ref="AK25:AK39"/>
    <mergeCell ref="AJ40:AJ49"/>
    <mergeCell ref="AH99:AH102"/>
    <mergeCell ref="AH25:AH39"/>
    <mergeCell ref="AB23:AB24"/>
    <mergeCell ref="AI74:AI77"/>
    <mergeCell ref="AJ16:AJ22"/>
    <mergeCell ref="AL4:AL15"/>
    <mergeCell ref="AL16:AL22"/>
    <mergeCell ref="AK4:AK15"/>
    <mergeCell ref="AI4:AI15"/>
    <mergeCell ref="AH16:AH22"/>
    <mergeCell ref="AH4:AH15"/>
    <mergeCell ref="AK16:AK22"/>
    <mergeCell ref="AK23:AK24"/>
    <mergeCell ref="AJ23:AJ24"/>
    <mergeCell ref="AJ25:AJ39"/>
    <mergeCell ref="AI16:AI22"/>
    <mergeCell ref="AI23:AI24"/>
    <mergeCell ref="AJ95:AJ98"/>
    <mergeCell ref="AL91:AL94"/>
    <mergeCell ref="AH87:AH90"/>
    <mergeCell ref="AL87:AL90"/>
    <mergeCell ref="AI91:AI94"/>
    <mergeCell ref="AL153:AL160"/>
    <mergeCell ref="AI108:AI111"/>
    <mergeCell ref="AK153:AK160"/>
    <mergeCell ref="AJ145:AJ152"/>
    <mergeCell ref="AJ128:AJ130"/>
    <mergeCell ref="AI128:AI130"/>
    <mergeCell ref="AH145:AH152"/>
    <mergeCell ref="AI153:AI160"/>
    <mergeCell ref="AB145:AB152"/>
    <mergeCell ref="AC114:AC127"/>
    <mergeCell ref="AC108:AC111"/>
    <mergeCell ref="AH133:AH140"/>
    <mergeCell ref="AI114:AI127"/>
    <mergeCell ref="AJ114:AJ127"/>
    <mergeCell ref="AJ133:AJ140"/>
    <mergeCell ref="AL133:AL140"/>
    <mergeCell ref="AK141:AK144"/>
    <mergeCell ref="AC128:AC132"/>
    <mergeCell ref="AB128:AB132"/>
    <mergeCell ref="AK128:AK130"/>
    <mergeCell ref="AH128:AH130"/>
    <mergeCell ref="AK133:AK140"/>
    <mergeCell ref="AL128:AL130"/>
    <mergeCell ref="AI145:AI152"/>
    <mergeCell ref="AB133:AB140"/>
    <mergeCell ref="AJ141:AJ144"/>
    <mergeCell ref="AK108:AK111"/>
    <mergeCell ref="AH114:AH127"/>
    <mergeCell ref="AK114:AK127"/>
    <mergeCell ref="AC141:AC144"/>
    <mergeCell ref="AL114:AL127"/>
    <mergeCell ref="AL141:AL144"/>
    <mergeCell ref="AC133:AC140"/>
    <mergeCell ref="AK233:AK256"/>
    <mergeCell ref="AK167:AK174"/>
    <mergeCell ref="AK270:AK271"/>
    <mergeCell ref="AA153:AA160"/>
    <mergeCell ref="AC270:AC273"/>
    <mergeCell ref="Z181:Z188"/>
    <mergeCell ref="AB213:AB220"/>
    <mergeCell ref="AB221:AB222"/>
    <mergeCell ref="AB167:AB174"/>
    <mergeCell ref="AI133:AI140"/>
    <mergeCell ref="AC274:AC277"/>
    <mergeCell ref="AI283:AI288"/>
    <mergeCell ref="AH306:AH310"/>
    <mergeCell ref="AH283:AH288"/>
    <mergeCell ref="AC298:AC305"/>
    <mergeCell ref="AJ283:AJ288"/>
    <mergeCell ref="AC278:AC282"/>
    <mergeCell ref="AC295:AC297"/>
    <mergeCell ref="AC306:AC310"/>
    <mergeCell ref="AH289:AH294"/>
    <mergeCell ref="AH278:AH282"/>
    <mergeCell ref="AH295:AH297"/>
    <mergeCell ref="AC153:AC160"/>
    <mergeCell ref="AC161:AC166"/>
    <mergeCell ref="AC145:AC152"/>
    <mergeCell ref="AB153:AB160"/>
    <mergeCell ref="AB161:AB166"/>
    <mergeCell ref="AH221:AH222"/>
    <mergeCell ref="AJ289:AJ294"/>
    <mergeCell ref="AK274:AK277"/>
    <mergeCell ref="AH274:AH277"/>
    <mergeCell ref="AL145:AL152"/>
    <mergeCell ref="AH161:AH165"/>
    <mergeCell ref="AJ306:AJ310"/>
    <mergeCell ref="AC175:AC176"/>
    <mergeCell ref="AI304:AI305"/>
    <mergeCell ref="AI298:AI303"/>
    <mergeCell ref="AH304:AH305"/>
    <mergeCell ref="AJ304:AJ305"/>
    <mergeCell ref="AL311:AL314"/>
    <mergeCell ref="AJ311:AJ314"/>
    <mergeCell ref="AJ153:AJ160"/>
    <mergeCell ref="AH175:AH176"/>
    <mergeCell ref="AI177:AI180"/>
    <mergeCell ref="AK161:AK165"/>
    <mergeCell ref="AJ177:AJ180"/>
    <mergeCell ref="AJ161:AJ165"/>
    <mergeCell ref="AI161:AI165"/>
    <mergeCell ref="AJ195:AJ204"/>
    <mergeCell ref="AL274:AL277"/>
    <mergeCell ref="AK257:AK259"/>
    <mergeCell ref="AI272:AI273"/>
    <mergeCell ref="AI274:AI277"/>
    <mergeCell ref="AH272:AH273"/>
    <mergeCell ref="AL175:AL176"/>
    <mergeCell ref="AL278:AL282"/>
    <mergeCell ref="AK264:AK269"/>
    <mergeCell ref="AL272:AL273"/>
    <mergeCell ref="AL270:AL271"/>
    <mergeCell ref="AJ233:AJ256"/>
    <mergeCell ref="AL161:AL165"/>
    <mergeCell ref="AK221:AK222"/>
    <mergeCell ref="AK223:AK232"/>
    <mergeCell ref="AL167:AL174"/>
    <mergeCell ref="AJ278:AJ282"/>
    <mergeCell ref="AJ270:AJ271"/>
    <mergeCell ref="AK272:AK273"/>
    <mergeCell ref="Q213:Q214"/>
    <mergeCell ref="P219:P220"/>
    <mergeCell ref="P215:P216"/>
    <mergeCell ref="P217:P218"/>
    <mergeCell ref="O213:O214"/>
    <mergeCell ref="N215:N216"/>
    <mergeCell ref="AL289:AL294"/>
    <mergeCell ref="AK283:AK288"/>
    <mergeCell ref="AL298:AL303"/>
    <mergeCell ref="AI295:AI297"/>
    <mergeCell ref="P260:P263"/>
    <mergeCell ref="O260:O263"/>
    <mergeCell ref="N274:N277"/>
    <mergeCell ref="O283:O285"/>
    <mergeCell ref="P295:P297"/>
    <mergeCell ref="O278:O282"/>
    <mergeCell ref="AK295:AK297"/>
    <mergeCell ref="AJ175:AJ176"/>
    <mergeCell ref="AJ167:AJ174"/>
    <mergeCell ref="AL264:AL269"/>
    <mergeCell ref="AB175:AB176"/>
    <mergeCell ref="W173:W174"/>
    <mergeCell ref="AJ264:AJ269"/>
    <mergeCell ref="AL221:AL222"/>
    <mergeCell ref="AL257:AL259"/>
    <mergeCell ref="N270:N271"/>
    <mergeCell ref="O274:O277"/>
    <mergeCell ref="P286:P288"/>
    <mergeCell ref="AJ315:AJ316"/>
    <mergeCell ref="AI315:AI316"/>
    <mergeCell ref="AK311:AK314"/>
    <mergeCell ref="AL295:AL297"/>
    <mergeCell ref="AI289:AI294"/>
    <mergeCell ref="AK289:AK294"/>
    <mergeCell ref="AH298:AH303"/>
    <mergeCell ref="AJ298:AJ303"/>
    <mergeCell ref="AL306:AL310"/>
    <mergeCell ref="AL315:AL316"/>
    <mergeCell ref="AI306:AI310"/>
    <mergeCell ref="AI311:AI314"/>
    <mergeCell ref="AK315:AK316"/>
    <mergeCell ref="AL304:AL305"/>
    <mergeCell ref="AL283:AL288"/>
    <mergeCell ref="AK298:AK303"/>
    <mergeCell ref="AK304:AK305"/>
    <mergeCell ref="AK306:AK310"/>
    <mergeCell ref="AJ295:AJ297"/>
    <mergeCell ref="P211:P212"/>
    <mergeCell ref="P209:P210"/>
    <mergeCell ref="L221:L222"/>
    <mergeCell ref="M205:M212"/>
    <mergeCell ref="N219:N220"/>
    <mergeCell ref="N217:N218"/>
    <mergeCell ref="P221:P222"/>
    <mergeCell ref="M221:M222"/>
    <mergeCell ref="O219:O220"/>
    <mergeCell ref="K221:K222"/>
    <mergeCell ref="J205:J212"/>
    <mergeCell ref="M233:M256"/>
    <mergeCell ref="J257:J259"/>
    <mergeCell ref="P233:P256"/>
    <mergeCell ref="J233:J256"/>
    <mergeCell ref="J223:J232"/>
    <mergeCell ref="Q221:Q222"/>
    <mergeCell ref="P213:P214"/>
    <mergeCell ref="K257:K259"/>
    <mergeCell ref="P230:P232"/>
    <mergeCell ref="O230:O232"/>
    <mergeCell ref="N230:N232"/>
    <mergeCell ref="Q230:Q232"/>
    <mergeCell ref="Q233:Q256"/>
    <mergeCell ref="J213:J220"/>
    <mergeCell ref="N233:N256"/>
    <mergeCell ref="O233:O256"/>
    <mergeCell ref="O221:O222"/>
    <mergeCell ref="L257:L259"/>
    <mergeCell ref="L264:L269"/>
    <mergeCell ref="P272:P273"/>
    <mergeCell ref="M264:M269"/>
    <mergeCell ref="M257:M259"/>
    <mergeCell ref="O270:O271"/>
    <mergeCell ref="J270:J271"/>
    <mergeCell ref="P270:P271"/>
    <mergeCell ref="O272:O273"/>
    <mergeCell ref="M260:M263"/>
    <mergeCell ref="Q260:Q263"/>
    <mergeCell ref="N213:N214"/>
    <mergeCell ref="N260:N263"/>
    <mergeCell ref="M270:M273"/>
    <mergeCell ref="J260:J263"/>
    <mergeCell ref="J264:J269"/>
    <mergeCell ref="Q270:Q271"/>
    <mergeCell ref="J272:J273"/>
    <mergeCell ref="N272:N273"/>
    <mergeCell ref="Q272:Q273"/>
    <mergeCell ref="K264:K269"/>
    <mergeCell ref="Q217:Q218"/>
    <mergeCell ref="Q219:Q220"/>
    <mergeCell ref="Q215:Q216"/>
    <mergeCell ref="D286:D288"/>
    <mergeCell ref="D304:D305"/>
    <mergeCell ref="Q315:Q316"/>
    <mergeCell ref="D300:D301"/>
    <mergeCell ref="J298:J305"/>
    <mergeCell ref="N289:N291"/>
    <mergeCell ref="N292:N294"/>
    <mergeCell ref="Q274:Q277"/>
    <mergeCell ref="D306:D310"/>
    <mergeCell ref="P292:P294"/>
    <mergeCell ref="Q304:Q305"/>
    <mergeCell ref="P298:P299"/>
    <mergeCell ref="M295:M297"/>
    <mergeCell ref="Q292:Q294"/>
    <mergeCell ref="Q308:Q309"/>
    <mergeCell ref="Q278:Q282"/>
    <mergeCell ref="N278:N282"/>
    <mergeCell ref="P302:P303"/>
    <mergeCell ref="M274:M277"/>
    <mergeCell ref="J274:J277"/>
    <mergeCell ref="P274:P277"/>
    <mergeCell ref="D302:D303"/>
    <mergeCell ref="Q300:Q301"/>
    <mergeCell ref="Q306:Q307"/>
    <mergeCell ref="Q286:Q288"/>
    <mergeCell ref="O302:O303"/>
    <mergeCell ref="Q283:Q285"/>
    <mergeCell ref="Q298:Q299"/>
    <mergeCell ref="J295:J297"/>
    <mergeCell ref="D289:D291"/>
    <mergeCell ref="J278:J282"/>
    <mergeCell ref="J311:J314"/>
    <mergeCell ref="Q295:Q297"/>
    <mergeCell ref="P304:P305"/>
    <mergeCell ref="Q302:Q303"/>
    <mergeCell ref="M278:M282"/>
    <mergeCell ref="P278:P282"/>
    <mergeCell ref="O292:O294"/>
    <mergeCell ref="P311:P314"/>
    <mergeCell ref="P300:P301"/>
    <mergeCell ref="K283:K294"/>
    <mergeCell ref="O295:O297"/>
    <mergeCell ref="L283:L294"/>
    <mergeCell ref="O315:O316"/>
    <mergeCell ref="O311:O314"/>
    <mergeCell ref="P283:P285"/>
    <mergeCell ref="N308:N309"/>
    <mergeCell ref="N306:N307"/>
    <mergeCell ref="Q311:Q314"/>
    <mergeCell ref="N300:N301"/>
    <mergeCell ref="M311:M314"/>
    <mergeCell ref="K278:K282"/>
    <mergeCell ref="L278:L282"/>
    <mergeCell ref="M315:M316"/>
    <mergeCell ref="N298:N299"/>
    <mergeCell ref="N283:N285"/>
    <mergeCell ref="P308:P309"/>
    <mergeCell ref="P289:P291"/>
    <mergeCell ref="N302:N303"/>
    <mergeCell ref="O304:O305"/>
    <mergeCell ref="M306:M310"/>
    <mergeCell ref="M283:M294"/>
    <mergeCell ref="Q289:Q291"/>
    <mergeCell ref="A311:A314"/>
    <mergeCell ref="A330:A335"/>
    <mergeCell ref="A319:A320"/>
    <mergeCell ref="C351:C352"/>
    <mergeCell ref="C349:C350"/>
    <mergeCell ref="B353:B355"/>
    <mergeCell ref="D351:D352"/>
    <mergeCell ref="B328:B329"/>
    <mergeCell ref="Q328:Q329"/>
    <mergeCell ref="Q319:Q320"/>
    <mergeCell ref="N319:N320"/>
    <mergeCell ref="B315:B316"/>
    <mergeCell ref="D332:D333"/>
    <mergeCell ref="J325:J327"/>
    <mergeCell ref="B325:B327"/>
    <mergeCell ref="B321:B324"/>
    <mergeCell ref="Q321:Q324"/>
    <mergeCell ref="O328:O329"/>
    <mergeCell ref="J328:J329"/>
    <mergeCell ref="B319:B320"/>
    <mergeCell ref="M317:M318"/>
    <mergeCell ref="D321:D324"/>
    <mergeCell ref="J321:J324"/>
    <mergeCell ref="O317:O318"/>
    <mergeCell ref="M319:M320"/>
    <mergeCell ref="O319:O320"/>
    <mergeCell ref="Q317:Q318"/>
    <mergeCell ref="D319:D320"/>
    <mergeCell ref="C321:C324"/>
    <mergeCell ref="N321:N324"/>
    <mergeCell ref="C336:C339"/>
    <mergeCell ref="Q340:Q345"/>
    <mergeCell ref="A295:A297"/>
    <mergeCell ref="D283:D285"/>
    <mergeCell ref="J319:J320"/>
    <mergeCell ref="O308:O309"/>
    <mergeCell ref="B298:B305"/>
    <mergeCell ref="O286:O288"/>
    <mergeCell ref="C283:C294"/>
    <mergeCell ref="N286:N288"/>
    <mergeCell ref="O289:O291"/>
    <mergeCell ref="B295:B297"/>
    <mergeCell ref="N295:N297"/>
    <mergeCell ref="D292:D294"/>
    <mergeCell ref="D295:D297"/>
    <mergeCell ref="B283:B294"/>
    <mergeCell ref="A315:A316"/>
    <mergeCell ref="A328:A329"/>
    <mergeCell ref="A283:A294"/>
    <mergeCell ref="B317:B318"/>
    <mergeCell ref="A325:A327"/>
    <mergeCell ref="A321:A324"/>
    <mergeCell ref="A317:A318"/>
    <mergeCell ref="D313:D314"/>
    <mergeCell ref="B311:B314"/>
    <mergeCell ref="B306:B310"/>
    <mergeCell ref="N315:N316"/>
    <mergeCell ref="C295:C297"/>
    <mergeCell ref="C308:C310"/>
    <mergeCell ref="N304:N305"/>
    <mergeCell ref="M298:M305"/>
    <mergeCell ref="J283:J294"/>
    <mergeCell ref="O298:O299"/>
    <mergeCell ref="J306:J310"/>
    <mergeCell ref="AL390:AL394"/>
    <mergeCell ref="R114:R125"/>
    <mergeCell ref="S114:S125"/>
    <mergeCell ref="A390:A394"/>
    <mergeCell ref="B390:B394"/>
    <mergeCell ref="C390:C394"/>
    <mergeCell ref="D390:D394"/>
    <mergeCell ref="J390:J394"/>
    <mergeCell ref="M390:M394"/>
    <mergeCell ref="N390:N394"/>
    <mergeCell ref="O390:O394"/>
    <mergeCell ref="P390:P394"/>
    <mergeCell ref="Q390:Q394"/>
    <mergeCell ref="R390:R394"/>
    <mergeCell ref="S390:S394"/>
    <mergeCell ref="T390:T394"/>
    <mergeCell ref="U390:U394"/>
    <mergeCell ref="V390:V394"/>
    <mergeCell ref="W390:W394"/>
    <mergeCell ref="AC378:AC383"/>
    <mergeCell ref="D381:D383"/>
    <mergeCell ref="Y372:Y377"/>
    <mergeCell ref="X372:X377"/>
    <mergeCell ref="N387:N389"/>
    <mergeCell ref="M387:M389"/>
    <mergeCell ref="Y387:Y389"/>
    <mergeCell ref="D311:D312"/>
    <mergeCell ref="N311:N314"/>
    <mergeCell ref="A340:A345"/>
    <mergeCell ref="C315:C316"/>
    <mergeCell ref="C311:C314"/>
    <mergeCell ref="AH390:AH394"/>
    <mergeCell ref="AI390:AI394"/>
    <mergeCell ref="AJ390:AJ394"/>
    <mergeCell ref="AK390:AK394"/>
    <mergeCell ref="AB372:AB377"/>
    <mergeCell ref="AA372:AA377"/>
    <mergeCell ref="Z372:Z377"/>
    <mergeCell ref="AA387:AA389"/>
    <mergeCell ref="Z387:Z389"/>
    <mergeCell ref="Z378:Z383"/>
    <mergeCell ref="AA378:AA383"/>
    <mergeCell ref="AB378:AB383"/>
    <mergeCell ref="A306:A310"/>
    <mergeCell ref="C328:C329"/>
    <mergeCell ref="C319:C320"/>
    <mergeCell ref="C317:C318"/>
    <mergeCell ref="C298:C305"/>
    <mergeCell ref="D298:D299"/>
    <mergeCell ref="A298:A305"/>
    <mergeCell ref="J315:J316"/>
    <mergeCell ref="C306:C307"/>
    <mergeCell ref="N325:N327"/>
    <mergeCell ref="D325:D327"/>
    <mergeCell ref="P319:P320"/>
    <mergeCell ref="O300:O301"/>
    <mergeCell ref="N317:N318"/>
    <mergeCell ref="D317:D318"/>
    <mergeCell ref="D315:D316"/>
    <mergeCell ref="AH315:AH316"/>
    <mergeCell ref="AH311:AH314"/>
    <mergeCell ref="AB306:AB310"/>
    <mergeCell ref="AB298:AB305"/>
    <mergeCell ref="A384:A386"/>
    <mergeCell ref="V384:V386"/>
    <mergeCell ref="Q384:Q386"/>
    <mergeCell ref="P384:P386"/>
    <mergeCell ref="O384:O386"/>
    <mergeCell ref="N384:N386"/>
    <mergeCell ref="A372:A383"/>
    <mergeCell ref="B372:B383"/>
    <mergeCell ref="C372:C377"/>
    <mergeCell ref="R387:R389"/>
    <mergeCell ref="D378:D380"/>
    <mergeCell ref="J378:J383"/>
    <mergeCell ref="D387:D389"/>
    <mergeCell ref="C387:C389"/>
    <mergeCell ref="X378:X383"/>
    <mergeCell ref="Y378:Y383"/>
    <mergeCell ref="D384:D386"/>
    <mergeCell ref="C384:C386"/>
    <mergeCell ref="O372:O377"/>
    <mergeCell ref="P378:P383"/>
    <mergeCell ref="X387:X389"/>
    <mergeCell ref="W387:W389"/>
    <mergeCell ref="V387:V389"/>
    <mergeCell ref="U387:U389"/>
    <mergeCell ref="T387:T389"/>
    <mergeCell ref="S387:S389"/>
    <mergeCell ref="B387:B389"/>
    <mergeCell ref="A387:A389"/>
    <mergeCell ref="Q387:Q389"/>
    <mergeCell ref="P387:P389"/>
    <mergeCell ref="O387:O389"/>
    <mergeCell ref="S378:S383"/>
    <mergeCell ref="S372:S377"/>
    <mergeCell ref="Z353:Z358"/>
    <mergeCell ref="AC349:AC352"/>
    <mergeCell ref="X346:X348"/>
    <mergeCell ref="T378:T383"/>
    <mergeCell ref="Y349:Y352"/>
    <mergeCell ref="AA349:AA352"/>
    <mergeCell ref="X349:X352"/>
    <mergeCell ref="AB349:AB352"/>
    <mergeCell ref="AA359:AA364"/>
    <mergeCell ref="Z368:Z371"/>
    <mergeCell ref="Y370:Y371"/>
    <mergeCell ref="AC368:AC371"/>
    <mergeCell ref="AB368:AB371"/>
    <mergeCell ref="U368:U369"/>
    <mergeCell ref="AC372:AC377"/>
    <mergeCell ref="AA368:AA371"/>
    <mergeCell ref="U346:U348"/>
    <mergeCell ref="AB365:AB366"/>
    <mergeCell ref="AC359:AC364"/>
    <mergeCell ref="AC365:AC366"/>
    <mergeCell ref="X359:X364"/>
    <mergeCell ref="Y365:Y366"/>
    <mergeCell ref="W346:W348"/>
    <mergeCell ref="AB346:AB348"/>
    <mergeCell ref="T359:T364"/>
    <mergeCell ref="T365:T366"/>
    <mergeCell ref="W349:W352"/>
    <mergeCell ref="V349:V352"/>
    <mergeCell ref="Y346:Y348"/>
    <mergeCell ref="AC346:AC348"/>
    <mergeCell ref="Z346:Z348"/>
    <mergeCell ref="V346:V348"/>
    <mergeCell ref="AC387:AC389"/>
    <mergeCell ref="AB387:AB389"/>
    <mergeCell ref="AC384:AC386"/>
    <mergeCell ref="AB384:AB386"/>
    <mergeCell ref="AA384:AA386"/>
    <mergeCell ref="Z384:Z386"/>
    <mergeCell ref="Y390:Y394"/>
    <mergeCell ref="Z390:Z394"/>
    <mergeCell ref="AA390:AA394"/>
    <mergeCell ref="AB390:AB394"/>
    <mergeCell ref="AC390:AC394"/>
    <mergeCell ref="U349:U352"/>
    <mergeCell ref="U378:U383"/>
    <mergeCell ref="V378:V383"/>
    <mergeCell ref="W378:W383"/>
    <mergeCell ref="U365:U366"/>
    <mergeCell ref="U359:U364"/>
    <mergeCell ref="W359:W364"/>
    <mergeCell ref="V365:V366"/>
    <mergeCell ref="W365:W366"/>
    <mergeCell ref="Z365:Z366"/>
    <mergeCell ref="AA365:AA366"/>
    <mergeCell ref="X365:X366"/>
    <mergeCell ref="AA353:AA358"/>
    <mergeCell ref="Z359:Z364"/>
    <mergeCell ref="AB353:AB358"/>
    <mergeCell ref="AC353:AC358"/>
    <mergeCell ref="Z349:Z352"/>
    <mergeCell ref="W368:W369"/>
    <mergeCell ref="AB359:AB364"/>
    <mergeCell ref="Y359:Y364"/>
    <mergeCell ref="V359:V364"/>
  </mergeCells>
  <phoneticPr fontId="1" type="noConversion"/>
  <conditionalFormatting sqref="P4:P498 B4:B407 B410:B498">
    <cfRule type="expression" dxfId="16" priority="958">
      <formula>EDATE($P4,-2)&lt;=TODAY()</formula>
    </cfRule>
  </conditionalFormatting>
  <conditionalFormatting sqref="H4:H241 H243:H245 H247:H253 H255:H498">
    <cfRule type="expression" dxfId="15" priority="149">
      <formula>IF(AND(EDATE($H4,-2)&lt;=TODAY()),1,"")</formula>
    </cfRule>
  </conditionalFormatting>
  <conditionalFormatting sqref="V4:V498 B4:B407 B410:B498">
    <cfRule type="expression" dxfId="14" priority="928">
      <formula>EDATE($V4,-2)&lt;=TODAY()</formula>
    </cfRule>
  </conditionalFormatting>
  <conditionalFormatting sqref="I4:I241 I243:I245 I247:I253 I255:I598">
    <cfRule type="cellIs" dxfId="13" priority="156" operator="lessThanOrEqual">
      <formula>0.3</formula>
    </cfRule>
  </conditionalFormatting>
  <conditionalFormatting sqref="A4:A407 A410:A498">
    <cfRule type="timePeriod" dxfId="12" priority="959" timePeriod="lastMonth">
      <formula>AND(MONTH(A4)=MONTH(EDATE(TODAY(),0-1)),YEAR(A4)=YEAR(EDATE(TODAY(),0-1)))</formula>
    </cfRule>
    <cfRule type="timePeriod" dxfId="11" priority="1099" timePeriod="thisMonth">
      <formula>AND(MONTH(A4)=MONTH(TODAY()),YEAR(A4)=YEAR(TODAY()))</formula>
    </cfRule>
    <cfRule type="timePeriod" dxfId="10" priority="1163" timePeriod="nextMonth">
      <formula>AND(MONTH(A4)=MONTH(EDATE(TODAY(),0+1)),YEAR(A4)=YEAR(EDATE(TODAY(),0+1)))</formula>
    </cfRule>
  </conditionalFormatting>
  <conditionalFormatting sqref="I4:I241 I243:I245 I247:I253 I255:I498">
    <cfRule type="containsBlanks" dxfId="9" priority="158">
      <formula>LEN(TRIM(I4))=0</formula>
    </cfRule>
  </conditionalFormatting>
  <conditionalFormatting sqref="H242">
    <cfRule type="expression" dxfId="8" priority="7">
      <formula>IF(AND(EDATE($H242,-2)&lt;=TODAY()),1,"")</formula>
    </cfRule>
  </conditionalFormatting>
  <conditionalFormatting sqref="I242">
    <cfRule type="cellIs" dxfId="7" priority="8" operator="lessThanOrEqual">
      <formula>0.3</formula>
    </cfRule>
  </conditionalFormatting>
  <conditionalFormatting sqref="I242">
    <cfRule type="containsBlanks" dxfId="6" priority="9">
      <formula>LEN(TRIM(I242))=0</formula>
    </cfRule>
  </conditionalFormatting>
  <conditionalFormatting sqref="H246">
    <cfRule type="expression" dxfId="5" priority="4">
      <formula>IF(AND(EDATE($H246,-2)&lt;=TODAY()),1,"")</formula>
    </cfRule>
  </conditionalFormatting>
  <conditionalFormatting sqref="I246">
    <cfRule type="cellIs" dxfId="4" priority="5" operator="lessThanOrEqual">
      <formula>0.3</formula>
    </cfRule>
  </conditionalFormatting>
  <conditionalFormatting sqref="I246">
    <cfRule type="containsBlanks" dxfId="3" priority="6">
      <formula>LEN(TRIM(I246))=0</formula>
    </cfRule>
  </conditionalFormatting>
  <conditionalFormatting sqref="H254">
    <cfRule type="expression" dxfId="2" priority="1">
      <formula>IF(AND(EDATE($H254,-2)&lt;=TODAY()),1,"")</formula>
    </cfRule>
  </conditionalFormatting>
  <conditionalFormatting sqref="I254">
    <cfRule type="cellIs" dxfId="1" priority="2" operator="lessThanOrEqual">
      <formula>0.3</formula>
    </cfRule>
  </conditionalFormatting>
  <conditionalFormatting sqref="I254">
    <cfRule type="containsBlanks" dxfId="0" priority="3">
      <formula>LEN(TRIM(I254))=0</formula>
    </cfRule>
  </conditionalFormatting>
  <dataValidations disablePrompts="1" count="4">
    <dataValidation type="list" allowBlank="1" showInputMessage="1" showErrorMessage="1" sqref="AK390:AK402 AK4:AK316">
      <formula1>"미진행,견적발송,발주확인,일정확정,완료"</formula1>
    </dataValidation>
    <dataValidation type="list" allowBlank="1" showInputMessage="1" showErrorMessage="1" sqref="AH390:AH402 AH4:AH316">
      <formula1>"두일,테크코리아,동우,-"</formula1>
    </dataValidation>
    <dataValidation type="list" allowBlank="1" showInputMessage="1" showErrorMessage="1" sqref="AI390:AI402 AI4:AI316">
      <formula1>"SICK,다산,동우,-"</formula1>
    </dataValidation>
    <dataValidation type="list" allowBlank="1" showInputMessage="1" showErrorMessage="1" sqref="AJ390:AJ402 AJ4:AJ316">
      <formula1>"두일,테크,DURAG,SICK,동우,-"</formula1>
    </dataValidation>
  </dataValidations>
  <pageMargins left="0.25" right="0.25" top="0.75" bottom="0.75" header="0.3" footer="0.3"/>
  <pageSetup paperSize="9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53E01-8C8C-48A5-8A21-1FF24EA58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환경-이현석</dc:creator>
  <cp:lastModifiedBy>환경영업팀</cp:lastModifiedBy>
  <cp:lastPrinted>2023-08-23T02:03:33Z</cp:lastPrinted>
  <dcterms:created xsi:type="dcterms:W3CDTF">2021-10-12T03:18:00Z</dcterms:created>
  <dcterms:modified xsi:type="dcterms:W3CDTF">2026-04-06T03:49:50Z</dcterms:modified>
</cp:coreProperties>
</file>